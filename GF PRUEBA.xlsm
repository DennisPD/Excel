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.purizaca\Downloads\Prueba\"/>
    </mc:Choice>
  </mc:AlternateContent>
  <xr:revisionPtr revIDLastSave="0" documentId="8_{5DBAA4B4-DA82-4AB2-AE2F-82B74D9EBFC7}" xr6:coauthVersionLast="47" xr6:coauthVersionMax="47" xr10:uidLastSave="{00000000-0000-0000-0000-000000000000}"/>
  <bookViews>
    <workbookView xWindow="-108" yWindow="-108" windowWidth="23256" windowHeight="12576" tabRatio="644" activeTab="2" xr2:uid="{C21FE151-374C-46D7-AC77-FD51709680EF}"/>
  </bookViews>
  <sheets>
    <sheet name="Info" sheetId="83" r:id="rId1"/>
    <sheet name="Base" sheetId="4" r:id="rId2"/>
    <sheet name="TD" sheetId="89" r:id="rId3"/>
  </sheets>
  <definedNames>
    <definedName name="_xlnm._FilterDatabase" localSheetId="1" hidden="1">Base!$A$1:$AG$383</definedName>
    <definedName name="_xlnm._FilterDatabase" localSheetId="0" hidden="1">Info!$B$1:$B$1</definedName>
    <definedName name="_xlpm.xCC" hidden="1" xlm="1">#NAME?</definedName>
    <definedName name="_xlpm.xCta" hidden="1" xlm="1">#NAME?</definedName>
    <definedName name="_xlnm.Criteria" localSheetId="1">Base!#REF!</definedName>
    <definedName name="TCV">3.984</definedName>
  </definedNames>
  <calcPr calcId="191029"/>
  <pivotCaches>
    <pivotCache cacheId="16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50" i="4" l="1"/>
  <c r="AG351" i="4"/>
  <c r="AG353" i="4"/>
  <c r="AG358" i="4"/>
  <c r="AG359" i="4"/>
  <c r="AG361" i="4"/>
  <c r="AG369" i="4"/>
  <c r="AG374" i="4"/>
  <c r="AG375" i="4"/>
  <c r="AG377" i="4"/>
  <c r="AF349" i="4"/>
  <c r="AG349" i="4"/>
  <c r="AF353" i="4"/>
  <c r="AF357" i="4"/>
  <c r="AG357" i="4"/>
  <c r="AG360" i="4"/>
  <c r="AF361" i="4"/>
  <c r="AG364" i="4"/>
  <c r="AF365" i="4"/>
  <c r="AG365" i="4"/>
  <c r="AG368" i="4"/>
  <c r="AF369" i="4"/>
  <c r="AG372" i="4"/>
  <c r="AF373" i="4"/>
  <c r="AG373" i="4"/>
  <c r="AG376" i="4"/>
  <c r="AF377" i="4"/>
  <c r="AG380" i="4"/>
  <c r="AF381" i="4"/>
  <c r="AG381" i="4"/>
  <c r="AF347" i="4"/>
  <c r="AF348" i="4"/>
  <c r="AF350" i="4"/>
  <c r="AF351" i="4"/>
  <c r="AF352" i="4"/>
  <c r="AF354" i="4"/>
  <c r="AF355" i="4"/>
  <c r="AF356" i="4"/>
  <c r="AF358" i="4"/>
  <c r="AF359" i="4"/>
  <c r="AF360" i="4"/>
  <c r="AF362" i="4"/>
  <c r="AF363" i="4"/>
  <c r="AF364" i="4"/>
  <c r="AF366" i="4"/>
  <c r="AF367" i="4"/>
  <c r="AF368" i="4"/>
  <c r="AF370" i="4"/>
  <c r="AF371" i="4"/>
  <c r="AF372" i="4"/>
  <c r="AF374" i="4"/>
  <c r="AF375" i="4"/>
  <c r="AF376" i="4"/>
  <c r="AF378" i="4"/>
  <c r="AF379" i="4"/>
  <c r="AF380" i="4"/>
  <c r="AF382" i="4"/>
  <c r="AF383" i="4"/>
  <c r="AG347" i="4"/>
  <c r="AG348" i="4"/>
  <c r="AG352" i="4"/>
  <c r="AG354" i="4"/>
  <c r="AG355" i="4"/>
  <c r="AG356" i="4"/>
  <c r="AG362" i="4"/>
  <c r="AG363" i="4"/>
  <c r="AG366" i="4"/>
  <c r="AG367" i="4"/>
  <c r="AG370" i="4"/>
  <c r="AG371" i="4"/>
  <c r="AG378" i="4"/>
  <c r="AG379" i="4"/>
  <c r="AG382" i="4"/>
  <c r="AG383" i="4"/>
  <c r="AF313" i="4" l="1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F2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G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</calcChain>
</file>

<file path=xl/sharedStrings.xml><?xml version="1.0" encoding="utf-8"?>
<sst xmlns="http://schemas.openxmlformats.org/spreadsheetml/2006/main" count="11554" uniqueCount="561">
  <si>
    <t>CUENTA CONTABLE</t>
  </si>
  <si>
    <t>DESC CUENTA CONTABLE</t>
  </si>
  <si>
    <t>FECHA</t>
  </si>
  <si>
    <t>ASIENTO</t>
  </si>
  <si>
    <t>TIPO DE DOCUMENTO</t>
  </si>
  <si>
    <t>DOCUMENTO</t>
  </si>
  <si>
    <t>REFERENCIA</t>
  </si>
  <si>
    <t>DEBITO LOCAL</t>
  </si>
  <si>
    <t>DEBITO DOLAR</t>
  </si>
  <si>
    <t>CREDITO LOCAL</t>
  </si>
  <si>
    <t>CREDITO DOLAR</t>
  </si>
  <si>
    <t>CENTRO COSTO</t>
  </si>
  <si>
    <t>CONSECUTIVO</t>
  </si>
  <si>
    <t>TIPO DE ASIENTO</t>
  </si>
  <si>
    <t>GLOSA</t>
  </si>
  <si>
    <t>DESC TIPO DE ASIENTO</t>
  </si>
  <si>
    <t>FUENTE</t>
  </si>
  <si>
    <t>NIT</t>
  </si>
  <si>
    <t>NIT NOMBRE</t>
  </si>
  <si>
    <t>MODULO</t>
  </si>
  <si>
    <t>REP REF</t>
  </si>
  <si>
    <t>COD TESO</t>
  </si>
  <si>
    <t>DETALLE</t>
  </si>
  <si>
    <t>DETALLE 2</t>
  </si>
  <si>
    <t>DETALLE 3</t>
  </si>
  <si>
    <t>Flujo Efectivo</t>
  </si>
  <si>
    <t>Patrimonio Neto</t>
  </si>
  <si>
    <t>Lotes Nuevos</t>
  </si>
  <si>
    <t>1</t>
  </si>
  <si>
    <t>01</t>
  </si>
  <si>
    <t>Cuentas por Pagar</t>
  </si>
  <si>
    <t>CP</t>
  </si>
  <si>
    <t/>
  </si>
  <si>
    <t>ND</t>
  </si>
  <si>
    <t>2</t>
  </si>
  <si>
    <t>02</t>
  </si>
  <si>
    <t>Caja Chica</t>
  </si>
  <si>
    <t>CJ</t>
  </si>
  <si>
    <t>3</t>
  </si>
  <si>
    <t>4</t>
  </si>
  <si>
    <t>CG</t>
  </si>
  <si>
    <t>04</t>
  </si>
  <si>
    <t>Control Bancario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</si>
  <si>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</si>
  <si>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</si>
  <si>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</si>
  <si>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</si>
  <si>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</si>
  <si>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</si>
  <si>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</si>
  <si>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</si>
  <si>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</si>
  <si>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</si>
  <si>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16</t>
  </si>
  <si>
    <t>17</t>
  </si>
  <si>
    <t>18</t>
  </si>
  <si>
    <t>06</t>
  </si>
  <si>
    <t>Contabilidad General</t>
  </si>
  <si>
    <t>15</t>
  </si>
  <si>
    <t>20</t>
  </si>
  <si>
    <t>21</t>
  </si>
  <si>
    <t>22</t>
  </si>
  <si>
    <t>23</t>
  </si>
  <si>
    <t>24</t>
  </si>
  <si>
    <t>19</t>
  </si>
  <si>
    <t>33</t>
  </si>
  <si>
    <t>30</t>
  </si>
  <si>
    <t>32</t>
  </si>
  <si>
    <t>34</t>
  </si>
  <si>
    <t>36</t>
  </si>
  <si>
    <t>37</t>
  </si>
  <si>
    <t>38</t>
  </si>
  <si>
    <t>41</t>
  </si>
  <si>
    <t>42</t>
  </si>
  <si>
    <t>49</t>
  </si>
  <si>
    <t>112</t>
  </si>
  <si>
    <t>05.40.61.92.01</t>
  </si>
  <si>
    <t>05.40.61.92.04</t>
  </si>
  <si>
    <t>05.40.61.95.01</t>
  </si>
  <si>
    <t>05.40.61.96.01</t>
  </si>
  <si>
    <t>CB</t>
  </si>
  <si>
    <t>94.5.1.1.026</t>
  </si>
  <si>
    <t>BIENES NO ACTIVABLES</t>
  </si>
  <si>
    <t>94.4.1.1.013</t>
  </si>
  <si>
    <t>Impuesto a las transacciones financieras.</t>
  </si>
  <si>
    <t>94.4.1.1.015</t>
  </si>
  <si>
    <t>Impuesto general ventas-Activos Fijos</t>
  </si>
  <si>
    <t>94.5.1.1.037</t>
  </si>
  <si>
    <t>DIFERENCIA POR REDONDEO</t>
  </si>
  <si>
    <t>05.40.61.92.08</t>
  </si>
  <si>
    <t>94.3.1.1.059</t>
  </si>
  <si>
    <t>HONORARIOS / TRABAJOS DIVERSOS</t>
  </si>
  <si>
    <t>05.40.61.92.02</t>
  </si>
  <si>
    <t>05.40.61.92.05</t>
  </si>
  <si>
    <t>94.3.1.1.065</t>
  </si>
  <si>
    <t>GASTOS NOTARIALES Y DE REGISTRO</t>
  </si>
  <si>
    <t>94.5.1.1.029</t>
  </si>
  <si>
    <t>MOVILIDAD TRAMITES ADMT.</t>
  </si>
  <si>
    <t>94.5.1.1.009</t>
  </si>
  <si>
    <t xml:space="preserve">OTRAS SUSCRIPCIONES </t>
  </si>
  <si>
    <t>05.40.61.92.09</t>
  </si>
  <si>
    <t>94.3.1.1.081</t>
  </si>
  <si>
    <t>MANTEN. DE UNID.DE TRANSPORTE</t>
  </si>
  <si>
    <t>94.3.1.1.108</t>
  </si>
  <si>
    <t>ALQUILER DE EQUIPOS DIVERSOS</t>
  </si>
  <si>
    <t>05.40.61.92.06</t>
  </si>
  <si>
    <t>05.40.61.92.03</t>
  </si>
  <si>
    <t>94.5.1.1.027</t>
  </si>
  <si>
    <t>GASTOS DE VIAJE NACIONAL</t>
  </si>
  <si>
    <t>94.3.1.1.041</t>
  </si>
  <si>
    <t>SEGURIDAD Y VIGILANCIA DE TERCEROS</t>
  </si>
  <si>
    <t>94.3.1.1.005</t>
  </si>
  <si>
    <t>CORREOS</t>
  </si>
  <si>
    <t>94.3.1.1.050</t>
  </si>
  <si>
    <t>IMPRESOS VARIOS</t>
  </si>
  <si>
    <t>94.3.1.1.007</t>
  </si>
  <si>
    <t>RPM</t>
  </si>
  <si>
    <t>94.3.1.1.010</t>
  </si>
  <si>
    <t>SERV.INTERNET Y AFINES</t>
  </si>
  <si>
    <t>05.40.61.95.04</t>
  </si>
  <si>
    <t>05.40.61.95.02</t>
  </si>
  <si>
    <t>94.3.1.1.036</t>
  </si>
  <si>
    <t>AGUA</t>
  </si>
  <si>
    <t>94.3.1.1.001</t>
  </si>
  <si>
    <t>COMBUSTIBLE,LUBRICANTES</t>
  </si>
  <si>
    <t>94.3.1.1.060</t>
  </si>
  <si>
    <t>ASESORIA CONSULTORIA Y AUDITORIA EXTERNA</t>
  </si>
  <si>
    <t>94.1.1.1.019</t>
  </si>
  <si>
    <t>BOTIQUIN, MEDICINAS, CONSULTAS</t>
  </si>
  <si>
    <t>94.1.1.1.034</t>
  </si>
  <si>
    <t>DIETAS DE DIRECTORES</t>
  </si>
  <si>
    <t>94.5.1.1.008</t>
  </si>
  <si>
    <t>SUSCRIPCIONES EN DIARIOS Y REVISTAS</t>
  </si>
  <si>
    <t>94.3.1.1.047</t>
  </si>
  <si>
    <t>MATERIALES DE LIMPIEZA Y FUMIGACION</t>
  </si>
  <si>
    <t>05.40.61.95.03</t>
  </si>
  <si>
    <t>94.3.1.1.013</t>
  </si>
  <si>
    <t>MANTEN.Y REPARAC. DE LOCAL</t>
  </si>
  <si>
    <t>94.5.1.1.056</t>
  </si>
  <si>
    <t>LICENCIAS SOFTWARE MENORES</t>
  </si>
  <si>
    <t>94.4.1.1.014</t>
  </si>
  <si>
    <t>Impuesto general ventas-Prorrateo</t>
  </si>
  <si>
    <t>94.3.1.1.021</t>
  </si>
  <si>
    <t>MANTEN.Y REPARAC.DE EQUIPOS DE COMPUTO</t>
  </si>
  <si>
    <t>94.3.1.1.057</t>
  </si>
  <si>
    <t>HONORARIOS JURIDICOS</t>
  </si>
  <si>
    <t>94.3.1.1.006</t>
  </si>
  <si>
    <t>TELEFONO</t>
  </si>
  <si>
    <t>94.3.1.1.035</t>
  </si>
  <si>
    <t>ENERGIA ELECTRICA</t>
  </si>
  <si>
    <t>94.3.1.1.080</t>
  </si>
  <si>
    <t>OTROS MEDIOS DE PUBLICIDAD</t>
  </si>
  <si>
    <t>94.3.1.1.103</t>
  </si>
  <si>
    <t>PUBLICIDAD PANELES</t>
  </si>
  <si>
    <t>94.5.1.1.113</t>
  </si>
  <si>
    <t>GASTOS POR RESPONSABILIDAD SOCIAL</t>
  </si>
  <si>
    <t>94.3.1.1.003</t>
  </si>
  <si>
    <t>ESTACIONAMIENTO Y PEAJE</t>
  </si>
  <si>
    <t>94.5.1.1.046</t>
  </si>
  <si>
    <t>MATERIALES DE COMPUTO : INFORMATICO</t>
  </si>
  <si>
    <t>94.1.1.1.018</t>
  </si>
  <si>
    <t>REFRIGERIOS Y ATENCIONES AL PERSONAL</t>
  </si>
  <si>
    <t>94.1.1.1.020</t>
  </si>
  <si>
    <t>UNIFORMES DEL PERSONAL</t>
  </si>
  <si>
    <t>94.5.1.1.036</t>
  </si>
  <si>
    <t>BIDON DE AGUA PERSONAL</t>
  </si>
  <si>
    <t>94.3.1.1.064</t>
  </si>
  <si>
    <t>SERVICIO DE TRANSPORTE Y FLETE</t>
  </si>
  <si>
    <t>94.5.1.1.013</t>
  </si>
  <si>
    <t>AGASAJO POR NAVIDAD</t>
  </si>
  <si>
    <t>94.3.1.1.020</t>
  </si>
  <si>
    <t>MANTEN.Y REPARAC. DE EQUIPOS DIVERSOS</t>
  </si>
  <si>
    <t>94.3.1.1.109</t>
  </si>
  <si>
    <t>ASESORIA DE MARKETING</t>
  </si>
  <si>
    <t>94.3.1.1.077</t>
  </si>
  <si>
    <t xml:space="preserve">EVENTOS Y ARTICULOS  PROMOCIONALES </t>
  </si>
  <si>
    <t>94.3.1.1.018</t>
  </si>
  <si>
    <t>MANTEN.Y REPARAC.DE MAQUINARIAS</t>
  </si>
  <si>
    <t>94.4.1.1.012</t>
  </si>
  <si>
    <t>OTROS TRIBUTOS</t>
  </si>
  <si>
    <t>94.3.1.1.024</t>
  </si>
  <si>
    <t>MANTENIMIENTO DE JARDINES</t>
  </si>
  <si>
    <t>Total general</t>
  </si>
  <si>
    <t>Rubro ER</t>
  </si>
  <si>
    <t>Gasto venta Fijo</t>
  </si>
  <si>
    <t>Gastos Administrativos</t>
  </si>
  <si>
    <t>SOL</t>
  </si>
  <si>
    <t>DOL</t>
  </si>
  <si>
    <t>Suma de DOL</t>
  </si>
  <si>
    <t>ORDEN SERV</t>
  </si>
  <si>
    <t>PROYECTO</t>
  </si>
  <si>
    <t>PARTIDA</t>
  </si>
  <si>
    <t>05.40.61.93.01</t>
  </si>
  <si>
    <t>05.40.61.93.02</t>
  </si>
  <si>
    <t>05.40.61.93.03</t>
  </si>
  <si>
    <t>05.40.61.93.04</t>
  </si>
  <si>
    <t>05.40.61.93.05</t>
  </si>
  <si>
    <t>05.40.61.12.01</t>
  </si>
  <si>
    <t>05.40.61.10.99</t>
  </si>
  <si>
    <t>Gerencia</t>
  </si>
  <si>
    <t>Equipos de protección personal-administrativo</t>
  </si>
  <si>
    <t>94.1.1.1.040</t>
  </si>
  <si>
    <t>05.40.61.93.91</t>
  </si>
  <si>
    <t>GF Descripcion</t>
  </si>
  <si>
    <t>CC2</t>
  </si>
  <si>
    <t>92.01 - Gerencia de Administración y Finanzas</t>
  </si>
  <si>
    <t>92.05 - Tecnología de Información y Comunicaciones</t>
  </si>
  <si>
    <t>92.02 - Contabilidad</t>
  </si>
  <si>
    <t>92.08 - Créditos y Cobranzas</t>
  </si>
  <si>
    <t>92.06 - Tesorería</t>
  </si>
  <si>
    <t>92.03 - Gestión Humana</t>
  </si>
  <si>
    <t>92.04 - Logística</t>
  </si>
  <si>
    <t>92.09 - Legal</t>
  </si>
  <si>
    <t>GF049 - Gastos Diversos</t>
  </si>
  <si>
    <t>GF015 - Comunicaciones</t>
  </si>
  <si>
    <t>GF013 - Uniformes Personal</t>
  </si>
  <si>
    <t>GF011 - Refrigerios y Atenciones al Personal y Dirección</t>
  </si>
  <si>
    <t>GF019 - Mant. y Rep. Local e Instalaciones</t>
  </si>
  <si>
    <t>GF034 - Asesoria Legal y Servicio de Terceros</t>
  </si>
  <si>
    <t>GF028 - Suscripciones</t>
  </si>
  <si>
    <t>GF010 - Sevicio de Limpieza y Fumigación</t>
  </si>
  <si>
    <t>GF021 - Movilidad</t>
  </si>
  <si>
    <t>GF014 - Gastos Notariales, Judiciales y de Registro</t>
  </si>
  <si>
    <t>GF039 - Mant. Unidades de Transporte y Vehiculos</t>
  </si>
  <si>
    <t>GF029 - Suministros, Insumos y Materiales de Cómputo</t>
  </si>
  <si>
    <t>GF009 - Servicio de Vigilancia y Seguridad</t>
  </si>
  <si>
    <t>GF038 - Combustible y Lubricantes</t>
  </si>
  <si>
    <t>GF047 - Bienes No Acreditables</t>
  </si>
  <si>
    <t>GF027 - Energia Electrica y Agua</t>
  </si>
  <si>
    <t>GF026 - Correos</t>
  </si>
  <si>
    <t>GF016 - Servicio Transporte y Fletes</t>
  </si>
  <si>
    <t>GF018 - Mant. y Rep. de Maq. y Equipos</t>
  </si>
  <si>
    <t>GF024 - Alquileres</t>
  </si>
  <si>
    <t>GF025 - Servicios de Impresión</t>
  </si>
  <si>
    <t>GF043 - Mantenimiento Areas Verdes</t>
  </si>
  <si>
    <t>92. Gerencia de Administración y Finanzas</t>
  </si>
  <si>
    <t>93. Gerencia de Operaciones</t>
  </si>
  <si>
    <t>95. Gerencia Comercial y Marketing</t>
  </si>
  <si>
    <t>96. Gerencia General</t>
  </si>
  <si>
    <t>94.3.1.1.111</t>
  </si>
  <si>
    <t>BONOS REFERIDOS</t>
  </si>
  <si>
    <t>35.06.06.00</t>
  </si>
  <si>
    <t>$. LEASEBACK 1,16816246</t>
  </si>
  <si>
    <t>0500284175</t>
  </si>
  <si>
    <t>0900061055</t>
  </si>
  <si>
    <t>0900061419</t>
  </si>
  <si>
    <t>0500282758</t>
  </si>
  <si>
    <t>0500282783</t>
  </si>
  <si>
    <t>0500284176</t>
  </si>
  <si>
    <t>0500284216</t>
  </si>
  <si>
    <t>0500284254</t>
  </si>
  <si>
    <t>1300017520</t>
  </si>
  <si>
    <t>0500282759</t>
  </si>
  <si>
    <t>0500284224</t>
  </si>
  <si>
    <t>0500284238</t>
  </si>
  <si>
    <t>0500284275</t>
  </si>
  <si>
    <t>0900061346</t>
  </si>
  <si>
    <t>0500284217</t>
  </si>
  <si>
    <t>0500284225</t>
  </si>
  <si>
    <t>0500284239</t>
  </si>
  <si>
    <t>0500284255</t>
  </si>
  <si>
    <t>0500284276</t>
  </si>
  <si>
    <t>0900061351</t>
  </si>
  <si>
    <t>0900061361</t>
  </si>
  <si>
    <t>0900061363</t>
  </si>
  <si>
    <t>0900061382</t>
  </si>
  <si>
    <t>0500282755</t>
  </si>
  <si>
    <t>0500282787</t>
  </si>
  <si>
    <t>0500284177</t>
  </si>
  <si>
    <t>0500284218</t>
  </si>
  <si>
    <t>0500284226</t>
  </si>
  <si>
    <t>0500284256</t>
  </si>
  <si>
    <t>0900061444</t>
  </si>
  <si>
    <t>0900061446</t>
  </si>
  <si>
    <t>0500284219</t>
  </si>
  <si>
    <t>0500284240</t>
  </si>
  <si>
    <t>0900061433</t>
  </si>
  <si>
    <t>0900061434</t>
  </si>
  <si>
    <t>0500282756</t>
  </si>
  <si>
    <t>0500282788</t>
  </si>
  <si>
    <t>0500284220</t>
  </si>
  <si>
    <t>0500284227</t>
  </si>
  <si>
    <t>0500284257</t>
  </si>
  <si>
    <t>0500284221</t>
  </si>
  <si>
    <t>0500284258</t>
  </si>
  <si>
    <t>0700038040</t>
  </si>
  <si>
    <t>0500284178</t>
  </si>
  <si>
    <t>0500284222</t>
  </si>
  <si>
    <t>0500284277</t>
  </si>
  <si>
    <t>0900061490</t>
  </si>
  <si>
    <t>1200030477</t>
  </si>
  <si>
    <t>1200030559</t>
  </si>
  <si>
    <t>0500284179</t>
  </si>
  <si>
    <t>0500284223</t>
  </si>
  <si>
    <t>0500284241</t>
  </si>
  <si>
    <t>0900061491</t>
  </si>
  <si>
    <t>0900061493</t>
  </si>
  <si>
    <t>0900061494</t>
  </si>
  <si>
    <t>0900061497</t>
  </si>
  <si>
    <t>0900061506</t>
  </si>
  <si>
    <t>1200030450</t>
  </si>
  <si>
    <t>1200030451</t>
  </si>
  <si>
    <t>1200030453</t>
  </si>
  <si>
    <t>1200030454</t>
  </si>
  <si>
    <t>1200030455</t>
  </si>
  <si>
    <t>1200030456</t>
  </si>
  <si>
    <t>1200030457</t>
  </si>
  <si>
    <t>1200030458</t>
  </si>
  <si>
    <t>1200030459</t>
  </si>
  <si>
    <t>1200030460</t>
  </si>
  <si>
    <t>1200030461</t>
  </si>
  <si>
    <t>1200030462</t>
  </si>
  <si>
    <t>1200030463</t>
  </si>
  <si>
    <t>1200030464</t>
  </si>
  <si>
    <t>1200030465</t>
  </si>
  <si>
    <t>1200030467</t>
  </si>
  <si>
    <t>1200030468</t>
  </si>
  <si>
    <t>1200030469</t>
  </si>
  <si>
    <t>1200030470</t>
  </si>
  <si>
    <t>1200030471</t>
  </si>
  <si>
    <t>1200030472</t>
  </si>
  <si>
    <t>1200030473</t>
  </si>
  <si>
    <t>1200030474</t>
  </si>
  <si>
    <t>1200030475</t>
  </si>
  <si>
    <t>0500282757</t>
  </si>
  <si>
    <t>0500282789</t>
  </si>
  <si>
    <t>0500282797</t>
  </si>
  <si>
    <t>0500284180</t>
  </si>
  <si>
    <t>0500284190</t>
  </si>
  <si>
    <t>0500284205</t>
  </si>
  <si>
    <t>0500284228</t>
  </si>
  <si>
    <t>0500284259</t>
  </si>
  <si>
    <t>0900061508</t>
  </si>
  <si>
    <t>0900061511</t>
  </si>
  <si>
    <t>0900061515</t>
  </si>
  <si>
    <t>0900061517</t>
  </si>
  <si>
    <t>0900061519</t>
  </si>
  <si>
    <t>0900061521</t>
  </si>
  <si>
    <t>0900061523</t>
  </si>
  <si>
    <t>0900061525</t>
  </si>
  <si>
    <t>1200030530</t>
  </si>
  <si>
    <t>0500284191</t>
  </si>
  <si>
    <t>0500284206</t>
  </si>
  <si>
    <t>0500284242</t>
  </si>
  <si>
    <t>0500284278</t>
  </si>
  <si>
    <t>0500283398</t>
  </si>
  <si>
    <t>0500284181</t>
  </si>
  <si>
    <t>0500284182</t>
  </si>
  <si>
    <t>0500284207</t>
  </si>
  <si>
    <t>0500284229</t>
  </si>
  <si>
    <t>0500284243</t>
  </si>
  <si>
    <t>0500284260</t>
  </si>
  <si>
    <t>0500284279</t>
  </si>
  <si>
    <t>0900061532</t>
  </si>
  <si>
    <t>0500284192</t>
  </si>
  <si>
    <t>0500284208</t>
  </si>
  <si>
    <t>0500284230</t>
  </si>
  <si>
    <t>0500284263</t>
  </si>
  <si>
    <t>0900061536</t>
  </si>
  <si>
    <t>0900061537</t>
  </si>
  <si>
    <t>0900061549</t>
  </si>
  <si>
    <t>0900061553</t>
  </si>
  <si>
    <t>0900061562</t>
  </si>
  <si>
    <t>0500283401</t>
  </si>
  <si>
    <t>0500284183</t>
  </si>
  <si>
    <t>0500284244</t>
  </si>
  <si>
    <t>0500284264</t>
  </si>
  <si>
    <t>0900061579</t>
  </si>
  <si>
    <t>0900061580</t>
  </si>
  <si>
    <t>0500284245</t>
  </si>
  <si>
    <t>0500284265</t>
  </si>
  <si>
    <t>0900061596</t>
  </si>
  <si>
    <t>0900061597</t>
  </si>
  <si>
    <t>0900061614</t>
  </si>
  <si>
    <t>0900061617</t>
  </si>
  <si>
    <t>0900061899</t>
  </si>
  <si>
    <t>0500283387</t>
  </si>
  <si>
    <t>0500283388</t>
  </si>
  <si>
    <t>0500283393</t>
  </si>
  <si>
    <t>0500283402</t>
  </si>
  <si>
    <t>0500284231</t>
  </si>
  <si>
    <t>1200030488</t>
  </si>
  <si>
    <t>1200030491</t>
  </si>
  <si>
    <t>0500284232</t>
  </si>
  <si>
    <t>0900061896</t>
  </si>
  <si>
    <t>1200030502</t>
  </si>
  <si>
    <t>0500283635</t>
  </si>
  <si>
    <t>0500283639</t>
  </si>
  <si>
    <t>0500283648</t>
  </si>
  <si>
    <t>0500283662</t>
  </si>
  <si>
    <t>0500283678</t>
  </si>
  <si>
    <t>0500283681</t>
  </si>
  <si>
    <t>0500284184</t>
  </si>
  <si>
    <t>0500284266</t>
  </si>
  <si>
    <t>0900061633</t>
  </si>
  <si>
    <t>0500283673</t>
  </si>
  <si>
    <t>0500284209</t>
  </si>
  <si>
    <t>0500284233</t>
  </si>
  <si>
    <t>0500284267</t>
  </si>
  <si>
    <t>0900061643</t>
  </si>
  <si>
    <t>0900061651</t>
  </si>
  <si>
    <t>0900061652</t>
  </si>
  <si>
    <t>0900061654</t>
  </si>
  <si>
    <t>0900061657</t>
  </si>
  <si>
    <t>0900061658</t>
  </si>
  <si>
    <t>0900061659</t>
  </si>
  <si>
    <t>0900061660</t>
  </si>
  <si>
    <t>0900061661</t>
  </si>
  <si>
    <t>0900061664</t>
  </si>
  <si>
    <t>0900061670</t>
  </si>
  <si>
    <t>0900061679</t>
  </si>
  <si>
    <t>0900061681</t>
  </si>
  <si>
    <t>0900061682</t>
  </si>
  <si>
    <t>1200030509</t>
  </si>
  <si>
    <t>0500284210</t>
  </si>
  <si>
    <t>0500284247</t>
  </si>
  <si>
    <t>0500284268</t>
  </si>
  <si>
    <t>0900061685</t>
  </si>
  <si>
    <t>0900061688</t>
  </si>
  <si>
    <t>0900061689</t>
  </si>
  <si>
    <t>0900061691</t>
  </si>
  <si>
    <t>0900061695</t>
  </si>
  <si>
    <t>0900061699</t>
  </si>
  <si>
    <t>0900061708</t>
  </si>
  <si>
    <t>PROVISIONES 2023,</t>
  </si>
  <si>
    <t>1400022205</t>
  </si>
  <si>
    <t>EXTORNO PROVISION</t>
  </si>
  <si>
    <t>1400022206</t>
  </si>
  <si>
    <t>EXTORNO PROVISIONES</t>
  </si>
  <si>
    <t>1400022209</t>
  </si>
  <si>
    <t>0500283636</t>
  </si>
  <si>
    <t>0500283640</t>
  </si>
  <si>
    <t>0500283661</t>
  </si>
  <si>
    <t>0500283674</t>
  </si>
  <si>
    <t>0500284185</t>
  </si>
  <si>
    <t>0500284193</t>
  </si>
  <si>
    <t>0500284211</t>
  </si>
  <si>
    <t>0500284234</t>
  </si>
  <si>
    <t>0500284269</t>
  </si>
  <si>
    <t>0900061720</t>
  </si>
  <si>
    <t>0900061721</t>
  </si>
  <si>
    <t>0900061726</t>
  </si>
  <si>
    <t>1200030503</t>
  </si>
  <si>
    <t>1200030504</t>
  </si>
  <si>
    <t>1200030505</t>
  </si>
  <si>
    <t>1200030506</t>
  </si>
  <si>
    <t>1200030507</t>
  </si>
  <si>
    <t>1200030545</t>
  </si>
  <si>
    <t>1300017524</t>
  </si>
  <si>
    <t>1300017525</t>
  </si>
  <si>
    <t>1300017526</t>
  </si>
  <si>
    <t>0500283637</t>
  </si>
  <si>
    <t>0500283641</t>
  </si>
  <si>
    <t>0500283649</t>
  </si>
  <si>
    <t>0500283664</t>
  </si>
  <si>
    <t>0500283675</t>
  </si>
  <si>
    <t>0500284186</t>
  </si>
  <si>
    <t>0500284187</t>
  </si>
  <si>
    <t>0500284194</t>
  </si>
  <si>
    <t>0500284195</t>
  </si>
  <si>
    <t>0500284212</t>
  </si>
  <si>
    <t>0500284280</t>
  </si>
  <si>
    <t>0900061730</t>
  </si>
  <si>
    <t>0900061739</t>
  </si>
  <si>
    <t>0900061745</t>
  </si>
  <si>
    <t>1200030510</t>
  </si>
  <si>
    <t>1200030511</t>
  </si>
  <si>
    <t>1200030512</t>
  </si>
  <si>
    <t>1200030513</t>
  </si>
  <si>
    <t>1200030514</t>
  </si>
  <si>
    <t>1200030515</t>
  </si>
  <si>
    <t>1200030516</t>
  </si>
  <si>
    <t>1200030518</t>
  </si>
  <si>
    <t>1200030519</t>
  </si>
  <si>
    <t>1200030520</t>
  </si>
  <si>
    <t>1200030521</t>
  </si>
  <si>
    <t>1200030522</t>
  </si>
  <si>
    <t>1200030524</t>
  </si>
  <si>
    <t>1200030525</t>
  </si>
  <si>
    <t>1200030526</t>
  </si>
  <si>
    <t>1200030527</t>
  </si>
  <si>
    <t>1200030528</t>
  </si>
  <si>
    <t>1200030529</t>
  </si>
  <si>
    <t>1200030531</t>
  </si>
  <si>
    <t>1200030532</t>
  </si>
  <si>
    <t>1200030533</t>
  </si>
  <si>
    <t>1200030534</t>
  </si>
  <si>
    <t>1200030535</t>
  </si>
  <si>
    <t>0500284196</t>
  </si>
  <si>
    <t>0500284197</t>
  </si>
  <si>
    <t>0500284270</t>
  </si>
  <si>
    <t>0500284281</t>
  </si>
  <si>
    <t>0900061782</t>
  </si>
  <si>
    <t>0500284213</t>
  </si>
  <si>
    <t>0500284235</t>
  </si>
  <si>
    <t>0500284271</t>
  </si>
  <si>
    <t>0500284282</t>
  </si>
  <si>
    <t>0700037894</t>
  </si>
  <si>
    <t>0900061791</t>
  </si>
  <si>
    <t>0900061802</t>
  </si>
  <si>
    <t>1300017532</t>
  </si>
  <si>
    <t>1300017533</t>
  </si>
  <si>
    <t>1300017534</t>
  </si>
  <si>
    <t>0500283833</t>
  </si>
  <si>
    <t>0500284274</t>
  </si>
  <si>
    <t>0900061811</t>
  </si>
  <si>
    <t>0900061812</t>
  </si>
  <si>
    <t>0900061814</t>
  </si>
  <si>
    <t>0900061871</t>
  </si>
  <si>
    <t>0900061891</t>
  </si>
  <si>
    <t>0900061942</t>
  </si>
  <si>
    <t>1300017536</t>
  </si>
  <si>
    <t>1400022246</t>
  </si>
  <si>
    <t>1400022247</t>
  </si>
  <si>
    <t>1400022248</t>
  </si>
  <si>
    <t>1400022249</t>
  </si>
  <si>
    <t>1400022255</t>
  </si>
  <si>
    <t>1400022260</t>
  </si>
  <si>
    <t>1400022267</t>
  </si>
  <si>
    <t>1400022270</t>
  </si>
  <si>
    <t>1400022279</t>
  </si>
  <si>
    <t>10.99 - Pisco</t>
  </si>
  <si>
    <t>12.01 - Sullana</t>
  </si>
  <si>
    <t>93.05 - Proyectos Sociales</t>
  </si>
  <si>
    <t>93.91 - SSOMA (Seguridad, Salud Ocupacional y Medio Ambiente)</t>
  </si>
  <si>
    <t>0900061627</t>
  </si>
  <si>
    <t>1400022314</t>
  </si>
  <si>
    <t>1400022315</t>
  </si>
  <si>
    <t>1400022316</t>
  </si>
  <si>
    <t>1400022317</t>
  </si>
  <si>
    <t>NO DEFINIDO</t>
  </si>
  <si>
    <t>1400022318</t>
  </si>
  <si>
    <t>1400022319</t>
  </si>
  <si>
    <t>1400022320</t>
  </si>
  <si>
    <t>0900061971</t>
  </si>
  <si>
    <t>0900061973</t>
  </si>
  <si>
    <t>1400022385</t>
  </si>
  <si>
    <t>1400022389</t>
  </si>
  <si>
    <t>1400022390</t>
  </si>
  <si>
    <t>GF056 - Eventos corporativos</t>
  </si>
  <si>
    <t>93.04 - Obras</t>
  </si>
  <si>
    <t>95.04 - Marketing</t>
  </si>
  <si>
    <t>96.01 - Gerencia General</t>
  </si>
  <si>
    <t>95.01 - Gerencia Comercial y Marketing</t>
  </si>
  <si>
    <t>95.03 - Atención al cliente</t>
  </si>
  <si>
    <t>93.02 - Saneamiento</t>
  </si>
  <si>
    <t>95.02 - Comercial</t>
  </si>
  <si>
    <t>93.01 - Gerencia de Operaciones</t>
  </si>
  <si>
    <t>93.03 - Diseño y Arquitectura</t>
  </si>
  <si>
    <t>DOC</t>
  </si>
  <si>
    <t>DOCUMENTO POR..</t>
  </si>
  <si>
    <t>GF045 - Medios de Promoción</t>
  </si>
  <si>
    <t>GF055 - Equipos de protección personal-administrativo</t>
  </si>
  <si>
    <t>GF017 - Gastos por Atención</t>
  </si>
  <si>
    <t>GF046 - Gastos de Viaticos</t>
  </si>
  <si>
    <t>GF052 - Responsabilidad Social</t>
  </si>
  <si>
    <t>GF040 - Estacionamiento y Peajes</t>
  </si>
  <si>
    <t>GF020 - Tributos Municipales y Tazas</t>
  </si>
  <si>
    <t>Total GF009 - Servicio de Vigilancia y Seguridad</t>
  </si>
  <si>
    <t>Total GF021 - Movilidad</t>
  </si>
  <si>
    <t>Total GF046 - Gastos de Viaticos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</si>
</sst>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 * #,##0.00_ ;_ * \-#,##0.00_ ;_ * &quot;-&quot;??_ ;_ @_ "/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64" fontId="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4" applyNumberFormat="0" applyAlignment="0" applyProtection="0"/>
    <xf numFmtId="0" fontId="16" fillId="7" borderId="5" applyNumberFormat="0" applyAlignment="0" applyProtection="0"/>
    <xf numFmtId="0" fontId="17" fillId="7" borderId="4" applyNumberFormat="0" applyAlignment="0" applyProtection="0"/>
    <xf numFmtId="0" fontId="18" fillId="0" borderId="6" applyNumberFormat="0" applyFill="0" applyAlignment="0" applyProtection="0"/>
    <xf numFmtId="0" fontId="7" fillId="8" borderId="7" applyNumberFormat="0" applyAlignment="0" applyProtection="0"/>
    <xf numFmtId="0" fontId="6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20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0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0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0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0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0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 applyFill="0" applyBorder="0"/>
    <xf numFmtId="0" fontId="5" fillId="0" borderId="0"/>
    <xf numFmtId="0" fontId="5" fillId="0" borderId="0" applyFill="0" applyBorder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4" fontId="2" fillId="0" borderId="0" xfId="1" applyFont="1" applyFill="1" applyBorder="1" applyAlignment="1" applyProtection="1"/>
    <xf numFmtId="0" fontId="0" fillId="0" borderId="0" xfId="0" pivotButton="1"/>
    <xf numFmtId="164" fontId="0" fillId="0" borderId="0" xfId="1" applyFont="1" applyFill="1"/>
    <xf numFmtId="0" fontId="1" fillId="0" borderId="0" xfId="1" applyNumberFormat="1" applyFont="1" applyFill="1" applyAlignment="1" applyProtection="1"/>
    <xf numFmtId="14" fontId="2" fillId="0" borderId="0" xfId="0" applyNumberFormat="1" applyFont="1"/>
    <xf numFmtId="14" fontId="0" fillId="0" borderId="0" xfId="0" applyNumberFormat="1"/>
    <xf numFmtId="49" fontId="0" fillId="0" borderId="0" xfId="0" applyNumberFormat="1"/>
    <xf numFmtId="4" fontId="0" fillId="0" borderId="0" xfId="0" applyNumberFormat="1"/>
    <xf numFmtId="49" fontId="2" fillId="0" borderId="0" xfId="0" applyNumberFormat="1" applyFont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34" borderId="0" xfId="0" applyFill="1"/>
    <xf numFmtId="0" fontId="0" fillId="35" borderId="0" xfId="0" applyFill="1"/>
    <xf numFmtId="0" fontId="0" fillId="2" borderId="0" xfId="0" applyFill="1"/>
    <xf numFmtId="0" fontId="4" fillId="0" borderId="0" xfId="0" pivotButton="1" applyFont="1"/>
    <xf numFmtId="43" fontId="0" fillId="0" borderId="0" xfId="0" applyNumberFormat="1"/>
  </cellXfs>
  <cellStyles count="55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Diseño 2" xfId="51" xr:uid="{267CD66F-1A9D-47B6-B742-23ABD9890DDD}"/>
    <cellStyle name="Diseño_Libro2" xfId="49" xr:uid="{18A22A2E-8003-4D4C-8550-E505E03DF6DA}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Incorrecto" xfId="11" builtinId="27" customBuiltin="1"/>
    <cellStyle name="Millares" xfId="1" builtinId="3"/>
    <cellStyle name="Millares 2" xfId="52" xr:uid="{33C203CB-50D4-433D-A20C-EB15CEC474FE}"/>
    <cellStyle name="Millares 3" xfId="53" xr:uid="{D28C9BB0-E872-4F30-A425-C4531A525CBA}"/>
    <cellStyle name="Millares 4" xfId="54" xr:uid="{568E29D9-70A5-4193-9C55-92D1BC2B86A2}"/>
    <cellStyle name="Neutral" xfId="12" builtinId="28" customBuiltin="1"/>
    <cellStyle name="Normal" xfId="0" builtinId="0"/>
    <cellStyle name="Normal 10" xfId="2" xr:uid="{B0A9A4F3-F185-4F71-B1C0-0C77F0E221CE}"/>
    <cellStyle name="Normal 2" xfId="3" xr:uid="{8C4A0C45-6627-45A0-A585-4536753F1C4B}"/>
    <cellStyle name="Normal 2 2" xfId="50" xr:uid="{D53BDFB2-19E6-49C9-BA15-B945A39F3ED4}"/>
    <cellStyle name="Normal 3 2" xfId="48" xr:uid="{19A50B39-BA06-4E17-98CD-90E41AB8B984}"/>
    <cellStyle name="Normal 5" xfId="46" xr:uid="{D825FD77-929F-4F49-A474-678BC428CA10}"/>
    <cellStyle name="Notas" xfId="19" builtinId="10" customBuiltin="1"/>
    <cellStyle name="Porcentaje 2" xfId="4" xr:uid="{E8634EAB-8A23-4F77-A0A3-A24A5203FBF2}"/>
    <cellStyle name="Porcentaje 2 2" xfId="47" xr:uid="{81B133B6-5EAA-4415-96BD-9BAF3E8AE2BE}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">
    <dxf>
      <numFmt numFmtId="35" formatCode="_ * #,##0.00_ ;_ * \-#,##0.00_ ;_ * &quot;-&quot;??_ ;_ @_ 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3" defaultTableStyle="TableStyleMedium2" defaultPivotStyle="PivotStyleLight16">
    <tableStyle name="Estilo de tabla 1" pivot="0" count="1" xr9:uid="{2A4F35B0-04B0-47E6-B0A2-3F64ECD947AD}">
      <tableStyleElement type="wholeTable" dxfId="45"/>
    </tableStyle>
    <tableStyle name="SlicerStyleDark1 2" pivot="0" table="0" count="10" xr9:uid="{641DBA06-B3CB-495B-8BE5-18BF5B2ADBA8}">
      <tableStyleElement type="wholeTable" dxfId="44"/>
      <tableStyleElement type="headerRow" dxfId="43"/>
    </tableStyle>
    <tableStyle name="TimeSlicerStyleDark1 2" pivot="0" table="0" count="9" xr9:uid="{4ABC2569-6374-44E9-BBB8-477D52BFFD3A}">
      <tableStyleElement type="wholeTable" dxfId="42"/>
      <tableStyleElement type="headerRow" dxfId="41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nis Purizaca" refreshedDate="45342.537486805559" createdVersion="8" refreshedVersion="8" minRefreshableVersion="3" recordCount="382" xr:uid="{289C5773-C32A-43A2-AD5A-AE9039767F44}">
  <cacheSource type="worksheet">
    <worksheetSource name="Base"/>
  </cacheSource>
  <cacheFields count="37">
    <cacheField name="CUENTA CONTABLE" numFmtId="49">
      <sharedItems/>
    </cacheField>
    <cacheField name="DESC CUENTA CONTABLE" numFmtId="49">
      <sharedItems count="48">
        <s v="Impuesto a las transacciones financieras."/>
        <s v="TELEFONO"/>
        <s v="REFRIGERIOS Y ATENCIONES AL PERSONAL"/>
        <s v="AGASAJO POR NAVIDAD"/>
        <s v="Impuesto general ventas-Activos Fijos"/>
        <s v="OTROS MEDIOS DE PUBLICIDAD"/>
        <s v="HONORARIOS JURIDICOS"/>
        <s v="Equipos de protección personal-administrativo"/>
        <s v="PUBLICIDAD PANELES"/>
        <s v="SERV.INTERNET Y AFINES"/>
        <s v="MOVILIDAD TRAMITES ADMT."/>
        <s v="MANTEN.Y REPARAC.DE EQUIPOS DE COMPUTO"/>
        <s v="MANTEN. DE UNID.DE TRANSPORTE"/>
        <s v="SEGURIDAD Y VIGILANCIA DE TERCEROS"/>
        <s v="GASTOS NOTARIALES Y DE REGISTRO"/>
        <s v="ASESORIA DE MARKETING"/>
        <s v="MANTEN.Y REPARAC. DE EQUIPOS DIVERSOS"/>
        <s v="MATERIALES DE COMPUTO : INFORMATICO"/>
        <s v="CORREOS"/>
        <s v="BOTIQUIN, MEDICINAS, CONSULTAS"/>
        <s v="IMPRESOS VARIOS"/>
        <s v="DIETAS DE DIRECTORES"/>
        <s v="OTRAS SUSCRIPCIONES "/>
        <s v="COMBUSTIBLE,LUBRICANTES"/>
        <s v="BONOS REFERIDOS"/>
        <s v="GASTOS DE VIAJE NACIONAL"/>
        <s v="UNIFORMES DEL PERSONAL"/>
        <s v="MANTEN.Y REPARAC. DE LOCAL"/>
        <s v="SUSCRIPCIONES EN DIARIOS Y REVISTAS"/>
        <s v="GASTOS POR RESPONSABILIDAD SOCIAL"/>
        <s v="LICENCIAS SOFTWARE MENORES"/>
        <s v="HONORARIOS / TRABAJOS DIVERSOS"/>
        <s v="ALQUILER DE EQUIPOS DIVERSOS"/>
        <s v="MANTEN.Y REPARAC.DE MAQUINARIAS"/>
        <s v="SERVICIO DE TRANSPORTE Y FLETE"/>
        <s v="ESTACIONAMIENTO Y PEAJE"/>
        <s v="AGUA"/>
        <s v="RPM"/>
        <s v="MANTENIMIENTO DE JARDINES"/>
        <s v="OTROS TRIBUTOS"/>
        <s v="DIFERENCIA POR REDONDEO"/>
        <s v="ENERGIA ELECTRICA"/>
        <s v="MATERIALES DE LIMPIEZA Y FUMIGACION"/>
        <s v="BIDON DE AGUA PERSONAL"/>
        <s v="EVENTOS Y ARTICULOS  PROMOCIONALES "/>
        <s v="Impuesto general ventas-Prorrateo"/>
        <s v="BIENES NO ACTIVABLES"/>
        <s v="ASESORIA CONSULTORIA Y AUDITORIA EXTERNA"/>
      </sharedItems>
    </cacheField>
    <cacheField name="FECHA" numFmtId="14">
      <sharedItems containsSemiMixedTypes="0" containsNonDate="0" containsDate="1" containsString="0" minDate="2024-01-01T00:00:00" maxDate="2024-02-01T00:00:00"/>
    </cacheField>
    <cacheField name="ASIENTO" numFmtId="49">
      <sharedItems/>
    </cacheField>
    <cacheField name="TIPO DE DOCUMENTO" numFmtId="49">
      <sharedItems/>
    </cacheField>
    <cacheField name="DOCUMENTO" numFmtId="49">
      <sharedItems/>
    </cacheField>
    <cacheField name="REFERENCIA" numFmtId="49">
      <sharedItems/>
    </cacheField>
    <cacheField name="DEBITO LOCAL" numFmtId="0">
      <sharedItems containsSemiMixedTypes="0" containsString="0" containsNumber="1" containsInteger="1" minValue="13" maxValue="8992"/>
    </cacheField>
    <cacheField name="DEBITO DOLAR" numFmtId="4">
      <sharedItems containsSemiMixedTypes="0" containsString="0" containsNumber="1" minValue="3.76" maxValue="2601.85"/>
    </cacheField>
    <cacheField name="CREDITO LOCAL" numFmtId="0">
      <sharedItems containsNonDate="0" containsString="0" containsBlank="1"/>
    </cacheField>
    <cacheField name="CREDITO DOLAR" numFmtId="0">
      <sharedItems containsNonDate="0" containsString="0" containsBlank="1"/>
    </cacheField>
    <cacheField name="CENTRO COSTO" numFmtId="49">
      <sharedItems/>
    </cacheField>
    <cacheField name="CONSECUTIVO" numFmtId="49">
      <sharedItems/>
    </cacheField>
    <cacheField name="TIPO DE ASIENTO" numFmtId="49">
      <sharedItems/>
    </cacheField>
    <cacheField name="GLOSA" numFmtId="49">
      <sharedItems/>
    </cacheField>
    <cacheField name="DESC TIPO DE ASIENTO" numFmtId="49">
      <sharedItems/>
    </cacheField>
    <cacheField name="FUENTE" numFmtId="49">
      <sharedItems/>
    </cacheField>
    <cacheField name="NIT" numFmtId="49">
      <sharedItems/>
    </cacheField>
    <cacheField name="NIT NOMBRE" numFmtId="49">
      <sharedItems/>
    </cacheField>
    <cacheField name="MODULO" numFmtId="49">
      <sharedItems/>
    </cacheField>
    <cacheField name="REP REF" numFmtId="49">
      <sharedItems/>
    </cacheField>
    <cacheField name="COD TESO" numFmtId="49">
      <sharedItems/>
    </cacheField>
    <cacheField name="DETALLE" numFmtId="49">
      <sharedItems/>
    </cacheField>
    <cacheField name="DETALLE 2" numFmtId="49">
      <sharedItems/>
    </cacheField>
    <cacheField name="Patrimonio Neto" numFmtId="49">
      <sharedItems/>
    </cacheField>
    <cacheField name="Flujo Efectivo" numFmtId="49">
      <sharedItems/>
    </cacheField>
    <cacheField name="DETALLE 3" numFmtId="49">
      <sharedItems/>
    </cacheField>
    <cacheField name="Lotes Nuevos" numFmtId="49">
      <sharedItems/>
    </cacheField>
    <cacheField name="ORDEN SERV" numFmtId="49">
      <sharedItems/>
    </cacheField>
    <cacheField name="PROYECTO" numFmtId="49">
      <sharedItems/>
    </cacheField>
    <cacheField name="PARTIDA" numFmtId="49">
      <sharedItems/>
    </cacheField>
    <cacheField name="SOL" numFmtId="164">
      <sharedItems containsSemiMixedTypes="0" containsString="0" containsNumber="1" containsInteger="1" minValue="13" maxValue="8992"/>
    </cacheField>
    <cacheField name="DOL" numFmtId="164">
      <sharedItems containsSemiMixedTypes="0" containsString="0" containsNumber="1" minValue="3.76" maxValue="2601.85"/>
    </cacheField>
    <cacheField name="Rubro ER" numFmtId="0">
      <sharedItems/>
    </cacheField>
    <cacheField name="GF Descripcion" numFmtId="0">
      <sharedItems count="30">
        <s v="GF049 - Gastos Diversos"/>
        <s v="GF015 - Comunicaciones"/>
        <s v="GF011 - Refrigerios y Atenciones al Personal y Dirección"/>
        <s v="GF056 - Eventos corporativos"/>
        <s v="GF045 - Medios de Promoción"/>
        <s v="GF034 - Asesoria Legal y Servicio de Terceros"/>
        <s v="GF055 - Equipos de protección personal-administrativo"/>
        <s v="GF021 - Movilidad"/>
        <s v="GF018 - Mant. y Rep. de Maq. y Equipos"/>
        <s v="GF039 - Mant. Unidades de Transporte y Vehiculos"/>
        <s v="GF009 - Servicio de Vigilancia y Seguridad"/>
        <s v="GF014 - Gastos Notariales, Judiciales y de Registro"/>
        <s v="GF029 - Suministros, Insumos y Materiales de Cómputo"/>
        <s v="GF026 - Correos"/>
        <s v="GF025 - Servicios de Impresión"/>
        <s v="GF017 - Gastos por Atención"/>
        <s v="GF028 - Suscripciones"/>
        <s v="GF038 - Combustible y Lubricantes"/>
        <s v="GF046 - Gastos de Viaticos"/>
        <s v="GF013 - Uniformes Personal"/>
        <s v="GF019 - Mant. y Rep. Local e Instalaciones"/>
        <s v="GF052 - Responsabilidad Social"/>
        <s v="GF047 - Bienes No Acreditables"/>
        <s v="GF024 - Alquileres"/>
        <s v="GF016 - Servicio Transporte y Fletes"/>
        <s v="GF040 - Estacionamiento y Peajes"/>
        <s v="GF027 - Energia Electrica y Agua"/>
        <s v="GF043 - Mantenimiento Areas Verdes"/>
        <s v="GF020 - Tributos Municipales y Tazas"/>
        <s v="GF010 - Sevicio de Limpieza y Fumigación"/>
      </sharedItems>
    </cacheField>
    <cacheField name="CC2" numFmtId="0">
      <sharedItems count="21">
        <s v="92.01 - Gerencia de Administración y Finanzas"/>
        <s v="92.05 - Tecnología de Información y Comunicaciones"/>
        <s v="92.08 - Créditos y Cobranzas"/>
        <s v="92.06 - Tesorería"/>
        <s v="92.03 - Gestión Humana"/>
        <s v="93.04 - Obras"/>
        <s v="95.04 - Marketing"/>
        <s v="92.09 - Legal"/>
        <s v="93.91 - SSOMA (Seguridad, Salud Ocupacional y Medio Ambiente)"/>
        <s v="10.99 - Pisco"/>
        <s v="96.01 - Gerencia General"/>
        <s v="95.01 - Gerencia Comercial y Marketing"/>
        <s v="95.03 - Atención al cliente"/>
        <s v="92.04 - Logística"/>
        <s v="93.02 - Saneamiento"/>
        <s v="92.02 - Contabilidad"/>
        <s v="95.02 - Comercial"/>
        <s v="93.05 - Proyectos Sociales"/>
        <s v="93.01 - Gerencia de Operaciones"/>
        <s v="93.03 - Diseño y Arquitectura"/>
        <s v="12.01 - Sullana"/>
      </sharedItems>
    </cacheField>
    <cacheField name="Gerenci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2">
  <r>
    <s v="94.4.1.1.013"/>
    <x v="0"/>
    <d v="2024-01-01T00:00:00"/>
    <s v="0500284175"/>
    <s v="DOC"/>
    <s v="DOC"/>
    <s v="DOCUMENTO POR.."/>
    <n v="156"/>
    <n v="45.1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56"/>
    <n v="45.14"/>
    <s v="Gastos Administrativos"/>
    <x v="0"/>
    <x v="0"/>
    <s v="92. Gerencia de Administración y Finanzas"/>
  </r>
  <r>
    <s v="94.3.1.1.006"/>
    <x v="1"/>
    <d v="2024-01-01T00:00:00"/>
    <s v="0900061055"/>
    <s v="DOC"/>
    <s v="DOC"/>
    <s v="DOCUMENTO POR.."/>
    <n v="7340"/>
    <n v="2123.84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340"/>
    <n v="2123.84"/>
    <s v="Gastos Administrativos"/>
    <x v="1"/>
    <x v="1"/>
    <s v="92. Gerencia de Administración y Finanzas"/>
  </r>
  <r>
    <s v="94.1.1.1.018"/>
    <x v="2"/>
    <d v="2024-01-01T00:00:00"/>
    <s v="0900061419"/>
    <s v="DOC"/>
    <s v="DOC"/>
    <s v="DOCUMENTO POR.."/>
    <n v="42"/>
    <n v="12.15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2"/>
    <n v="12.15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5955"/>
    <n v="1723.09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955"/>
    <n v="1723.09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637"/>
    <n v="473.67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637"/>
    <n v="473.67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112"/>
    <n v="321.76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12"/>
    <n v="321.76"/>
    <s v="Gastos Administrativos"/>
    <x v="2"/>
    <x v="2"/>
    <s v="92. Gerencia de Administración y Finanzas"/>
  </r>
  <r>
    <s v="94.1.1.1.018"/>
    <x v="2"/>
    <d v="2024-01-01T00:00:00"/>
    <s v="0900061419"/>
    <s v="DOC"/>
    <s v="DOC"/>
    <s v="DOCUMENTO POR.."/>
    <n v="13"/>
    <n v="3.76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"/>
    <n v="3.76"/>
    <s v="Gastos Administrativos"/>
    <x v="2"/>
    <x v="2"/>
    <s v="92. Gerencia de Administración y Finanzas"/>
  </r>
  <r>
    <s v="94.4.1.1.013"/>
    <x v="0"/>
    <d v="2024-01-02T00:00:00"/>
    <s v="0500282758"/>
    <s v="DOC"/>
    <s v="DOC"/>
    <s v="DOCUMENTO POR.."/>
    <n v="6239"/>
    <n v="1805.2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239"/>
    <n v="1805.27"/>
    <s v="Gastos Administrativos"/>
    <x v="0"/>
    <x v="3"/>
    <s v="92. Gerencia de Administración y Finanzas"/>
  </r>
  <r>
    <s v="94.4.1.1.013"/>
    <x v="0"/>
    <d v="2024-01-02T00:00:00"/>
    <s v="0500282783"/>
    <s v="DOC"/>
    <s v="DOC"/>
    <s v="DOCUMENTO POR.."/>
    <n v="2447"/>
    <n v="708.0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447"/>
    <n v="708.04"/>
    <s v="Gastos Administrativos"/>
    <x v="0"/>
    <x v="3"/>
    <s v="92. Gerencia de Administración y Finanzas"/>
  </r>
  <r>
    <s v="94.4.1.1.013"/>
    <x v="0"/>
    <d v="2024-01-02T00:00:00"/>
    <s v="0500284176"/>
    <s v="DOC"/>
    <s v="DOC"/>
    <s v="DOCUMENTO POR.."/>
    <n v="4456"/>
    <n v="1289.349999999999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56"/>
    <n v="1289.3499999999999"/>
    <s v="Gastos Administrativos"/>
    <x v="0"/>
    <x v="0"/>
    <s v="92. Gerencia de Administración y Finanzas"/>
  </r>
  <r>
    <s v="94.4.1.1.013"/>
    <x v="0"/>
    <d v="2024-01-02T00:00:00"/>
    <s v="0500284216"/>
    <s v="DOC"/>
    <s v="DOC"/>
    <s v="DOCUMENTO POR.."/>
    <n v="2855"/>
    <n v="826.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855"/>
    <n v="826.1"/>
    <s v="Gastos Administrativos"/>
    <x v="0"/>
    <x v="0"/>
    <s v="92. Gerencia de Administración y Finanzas"/>
  </r>
  <r>
    <s v="94.4.1.1.013"/>
    <x v="0"/>
    <d v="2024-01-02T00:00:00"/>
    <s v="0500284254"/>
    <s v="DOC"/>
    <s v="DOC"/>
    <s v="DOCUMENTO POR.."/>
    <n v="8371"/>
    <n v="2422.1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371"/>
    <n v="2422.16"/>
    <s v="Gastos Administrativos"/>
    <x v="0"/>
    <x v="3"/>
    <s v="92. Gerencia de Administración y Finanzas"/>
  </r>
  <r>
    <s v="94.5.1.1.013"/>
    <x v="3"/>
    <d v="2024-01-02T00:00:00"/>
    <s v="1300017520"/>
    <s v="DOC"/>
    <s v="DOC"/>
    <s v="DOCUMENTO POR.."/>
    <n v="417"/>
    <n v="120.66"/>
    <m/>
    <m/>
    <s v="05.40.61.92.03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17"/>
    <n v="120.66"/>
    <s v="Gastos Administrativos"/>
    <x v="3"/>
    <x v="4"/>
    <s v="92. Gerencia de Administración y Finanzas"/>
  </r>
  <r>
    <s v="94.4.1.1.013"/>
    <x v="0"/>
    <d v="2024-01-03T00:00:00"/>
    <s v="0500282759"/>
    <s v="DOC"/>
    <s v="DOC"/>
    <s v="DOCUMENTO POR.."/>
    <n v="3738"/>
    <n v="1081.59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738"/>
    <n v="1081.5999999999999"/>
    <s v="Gastos Administrativos"/>
    <x v="0"/>
    <x v="3"/>
    <s v="92. Gerencia de Administración y Finanzas"/>
  </r>
  <r>
    <s v="94.4.1.1.013"/>
    <x v="0"/>
    <d v="2024-01-03T00:00:00"/>
    <s v="0500284224"/>
    <s v="DOC"/>
    <s v="DOC"/>
    <s v="DOCUMENTO POR.."/>
    <n v="2225"/>
    <n v="643.8099999999999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25"/>
    <n v="643.80999999999995"/>
    <s v="Gastos Administrativos"/>
    <x v="0"/>
    <x v="0"/>
    <s v="92. Gerencia de Administración y Finanzas"/>
  </r>
  <r>
    <s v="94.4.1.1.013"/>
    <x v="0"/>
    <d v="2024-01-03T00:00:00"/>
    <s v="0500284238"/>
    <s v="DOC"/>
    <s v="DOC"/>
    <s v="DOCUMENTO POR.."/>
    <n v="4940"/>
    <n v="1429.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40"/>
    <n v="1429.4"/>
    <s v="Gastos Administrativos"/>
    <x v="0"/>
    <x v="0"/>
    <s v="92. Gerencia de Administración y Finanzas"/>
  </r>
  <r>
    <s v="94.4.1.1.013"/>
    <x v="0"/>
    <d v="2024-01-03T00:00:00"/>
    <s v="0500284275"/>
    <s v="DOC"/>
    <s v="DOC"/>
    <s v="DOCUMENTO POR.."/>
    <n v="6718"/>
    <n v="1943.8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718"/>
    <n v="1943.87"/>
    <s v="Gastos Administrativos"/>
    <x v="0"/>
    <x v="3"/>
    <s v="92. Gerencia de Administración y Finanzas"/>
  </r>
  <r>
    <s v="94.4.1.1.015"/>
    <x v="4"/>
    <d v="2024-01-03T00:00:00"/>
    <s v="0900061346"/>
    <s v="DOC"/>
    <s v="DOC"/>
    <s v="DOCUMENTO POR.."/>
    <n v="7492"/>
    <n v="2167.8200000000002"/>
    <m/>
    <m/>
    <s v="05.40.61.93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492"/>
    <n v="2167.8200000000002"/>
    <s v="Gastos Administrativos"/>
    <x v="0"/>
    <x v="5"/>
    <s v="93. Gerencia de Operaciones"/>
  </r>
  <r>
    <s v="94.4.1.1.015"/>
    <x v="4"/>
    <d v="2024-01-03T00:00:00"/>
    <s v="0900061346"/>
    <s v="DOC"/>
    <s v="DOC"/>
    <s v="DOCUMENTO POR.."/>
    <n v="8495"/>
    <n v="2458.04"/>
    <m/>
    <m/>
    <s v="05.40.61.93.04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495"/>
    <n v="2458.04"/>
    <s v="Gastos Administrativos"/>
    <x v="0"/>
    <x v="5"/>
    <s v="93. Gerencia de Operaciones"/>
  </r>
  <r>
    <s v="94.4.1.1.015"/>
    <x v="4"/>
    <d v="2024-01-03T00:00:00"/>
    <s v="0900061346"/>
    <s v="DOC"/>
    <s v="DOC"/>
    <s v="DOCUMENTO POR.."/>
    <n v="7655"/>
    <n v="2214.9899999999998"/>
    <m/>
    <m/>
    <s v="05.40.61.93.04"/>
    <s v="7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655"/>
    <n v="2214.9899999999998"/>
    <s v="Gastos Administrativos"/>
    <x v="0"/>
    <x v="5"/>
    <s v="93. Gerencia de Operaciones"/>
  </r>
  <r>
    <s v="94.4.1.1.013"/>
    <x v="0"/>
    <d v="2024-01-04T00:00:00"/>
    <s v="0500284217"/>
    <s v="DOC"/>
    <s v="DOC"/>
    <s v="DOCUMENTO POR.."/>
    <n v="7973"/>
    <n v="230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973"/>
    <n v="2307"/>
    <s v="Gastos Administrativos"/>
    <x v="0"/>
    <x v="0"/>
    <s v="92. Gerencia de Administración y Finanzas"/>
  </r>
  <r>
    <s v="94.4.1.1.013"/>
    <x v="0"/>
    <d v="2024-01-04T00:00:00"/>
    <s v="0500284225"/>
    <s v="DOC"/>
    <s v="DOC"/>
    <s v="DOCUMENTO POR.."/>
    <n v="7110"/>
    <n v="2057.2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110"/>
    <n v="2057.29"/>
    <s v="Gastos Administrativos"/>
    <x v="0"/>
    <x v="0"/>
    <s v="92. Gerencia de Administración y Finanzas"/>
  </r>
  <r>
    <s v="94.4.1.1.013"/>
    <x v="0"/>
    <d v="2024-01-04T00:00:00"/>
    <s v="0500284239"/>
    <s v="DOC"/>
    <s v="DOC"/>
    <s v="DOCUMENTO POR.."/>
    <n v="4298"/>
    <n v="1243.630000000000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98"/>
    <n v="1243.6300000000001"/>
    <s v="Gastos Administrativos"/>
    <x v="0"/>
    <x v="0"/>
    <s v="92. Gerencia de Administración y Finanzas"/>
  </r>
  <r>
    <s v="94.4.1.1.013"/>
    <x v="0"/>
    <d v="2024-01-04T00:00:00"/>
    <s v="0500284255"/>
    <s v="DOC"/>
    <s v="DOC"/>
    <s v="DOCUMENTO POR.."/>
    <n v="6277"/>
    <n v="1816.2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277"/>
    <n v="1816.26"/>
    <s v="Gastos Administrativos"/>
    <x v="0"/>
    <x v="3"/>
    <s v="92. Gerencia de Administración y Finanzas"/>
  </r>
  <r>
    <s v="94.4.1.1.013"/>
    <x v="0"/>
    <d v="2024-01-04T00:00:00"/>
    <s v="0500284276"/>
    <s v="DOC"/>
    <s v="DOC"/>
    <s v="DOCUMENTO POR.."/>
    <n v="1357"/>
    <n v="392.6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357"/>
    <n v="392.65"/>
    <s v="Gastos Administrativos"/>
    <x v="0"/>
    <x v="3"/>
    <s v="92. Gerencia de Administración y Finanzas"/>
  </r>
  <r>
    <s v="94.3.1.1.080"/>
    <x v="5"/>
    <d v="2024-01-04T00:00:00"/>
    <s v="0900061351"/>
    <s v="DOC"/>
    <s v="DOC"/>
    <s v="DOCUMENTO POR.."/>
    <n v="6866"/>
    <n v="1986.6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66"/>
    <n v="1986.69"/>
    <s v="Gasto venta Fijo"/>
    <x v="4"/>
    <x v="6"/>
    <s v="95. Gerencia Comercial y Marketing"/>
  </r>
  <r>
    <s v="94.3.1.1.080"/>
    <x v="5"/>
    <d v="2024-01-04T00:00:00"/>
    <s v="0900061361"/>
    <s v="DOC"/>
    <s v="DOC"/>
    <s v="DOCUMENTO POR.."/>
    <n v="122"/>
    <n v="35.2999999999999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22"/>
    <n v="35.299999999999997"/>
    <s v="Gasto venta Fijo"/>
    <x v="4"/>
    <x v="6"/>
    <s v="95. Gerencia Comercial y Marketing"/>
  </r>
  <r>
    <s v="94.3.1.1.080"/>
    <x v="5"/>
    <d v="2024-01-04T00:00:00"/>
    <s v="0900061363"/>
    <s v="DOC"/>
    <s v="DOC"/>
    <s v="DOCUMENTO POR.."/>
    <n v="8587"/>
    <n v="2484.66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587"/>
    <n v="2484.66"/>
    <s v="Gasto venta Fijo"/>
    <x v="4"/>
    <x v="6"/>
    <s v="95. Gerencia Comercial y Marketing"/>
  </r>
  <r>
    <s v="94.3.1.1.057"/>
    <x v="6"/>
    <d v="2024-01-04T00:00:00"/>
    <s v="0900061382"/>
    <s v="DOC"/>
    <s v="DOC"/>
    <s v="DOCUMENTO POR.."/>
    <n v="4447"/>
    <n v="1286.75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47"/>
    <n v="1286.75"/>
    <s v="Gastos Administrativos"/>
    <x v="5"/>
    <x v="7"/>
    <s v="92. Gerencia de Administración y Finanzas"/>
  </r>
  <r>
    <s v="94.4.1.1.013"/>
    <x v="0"/>
    <d v="2024-01-05T00:00:00"/>
    <s v="0500282755"/>
    <s v="DOC"/>
    <s v="DOC"/>
    <s v="DOCUMENTO POR.."/>
    <n v="2662"/>
    <n v="770.2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662"/>
    <n v="770.25"/>
    <s v="Gastos Administrativos"/>
    <x v="0"/>
    <x v="3"/>
    <s v="92. Gerencia de Administración y Finanzas"/>
  </r>
  <r>
    <s v="94.4.1.1.013"/>
    <x v="0"/>
    <d v="2024-01-05T00:00:00"/>
    <s v="0500282787"/>
    <s v="DOC"/>
    <s v="DOC"/>
    <s v="DOCUMENTO POR.."/>
    <n v="8143"/>
    <n v="2356.1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143"/>
    <n v="2356.19"/>
    <s v="Gastos Administrativos"/>
    <x v="0"/>
    <x v="3"/>
    <s v="92. Gerencia de Administración y Finanzas"/>
  </r>
  <r>
    <s v="94.4.1.1.013"/>
    <x v="0"/>
    <d v="2024-01-05T00:00:00"/>
    <s v="0500284177"/>
    <s v="DOC"/>
    <s v="DOC"/>
    <s v="DOCUMENTO POR.."/>
    <n v="7624"/>
    <n v="2206.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624"/>
    <n v="2206.02"/>
    <s v="Gastos Administrativos"/>
    <x v="0"/>
    <x v="0"/>
    <s v="92. Gerencia de Administración y Finanzas"/>
  </r>
  <r>
    <s v="94.4.1.1.013"/>
    <x v="0"/>
    <d v="2024-01-05T00:00:00"/>
    <s v="0500284218"/>
    <s v="DOC"/>
    <s v="DOC"/>
    <s v="DOCUMENTO POR.."/>
    <n v="3274"/>
    <n v="947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274"/>
    <n v="947.34"/>
    <s v="Gastos Administrativos"/>
    <x v="0"/>
    <x v="0"/>
    <s v="92. Gerencia de Administración y Finanzas"/>
  </r>
  <r>
    <s v="94.4.1.1.013"/>
    <x v="0"/>
    <d v="2024-01-05T00:00:00"/>
    <s v="0500284226"/>
    <s v="DOC"/>
    <s v="DOC"/>
    <s v="DOCUMENTO POR.."/>
    <n v="8924"/>
    <n v="2582.17999999999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24"/>
    <n v="2582.1799999999998"/>
    <s v="Gastos Administrativos"/>
    <x v="0"/>
    <x v="0"/>
    <s v="92. Gerencia de Administración y Finanzas"/>
  </r>
  <r>
    <s v="94.4.1.1.013"/>
    <x v="0"/>
    <d v="2024-01-05T00:00:00"/>
    <s v="0500284256"/>
    <s v="DOC"/>
    <s v="DOC"/>
    <s v="DOCUMENTO POR.."/>
    <n v="165"/>
    <n v="47.7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65"/>
    <n v="47.74"/>
    <s v="Gastos Administrativos"/>
    <x v="0"/>
    <x v="3"/>
    <s v="92. Gerencia de Administración y Finanzas"/>
  </r>
  <r>
    <s v="94.3.1.1.057"/>
    <x v="6"/>
    <d v="2024-01-05T00:00:00"/>
    <s v="0900061444"/>
    <s v="DOC"/>
    <s v="DOC"/>
    <s v="DOCUMENTO POR.."/>
    <n v="7381"/>
    <n v="2135.71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381"/>
    <n v="2135.71"/>
    <s v="Gastos Administrativos"/>
    <x v="5"/>
    <x v="7"/>
    <s v="92. Gerencia de Administración y Finanzas"/>
  </r>
  <r>
    <s v="94.3.1.1.057"/>
    <x v="6"/>
    <d v="2024-01-05T00:00:00"/>
    <s v="0900061446"/>
    <s v="DOC"/>
    <s v="DOC"/>
    <s v="DOCUMENTO POR.."/>
    <n v="6646"/>
    <n v="1923.03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646"/>
    <n v="1923.03"/>
    <s v="Gastos Administrativos"/>
    <x v="5"/>
    <x v="7"/>
    <s v="92. Gerencia de Administración y Finanzas"/>
  </r>
  <r>
    <s v="94.4.1.1.013"/>
    <x v="0"/>
    <d v="2024-01-07T00:00:00"/>
    <s v="0500284219"/>
    <s v="DOC"/>
    <s v="DOC"/>
    <s v="DOCUMENTO POR.."/>
    <n v="4988"/>
    <n v="1443.2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88"/>
    <n v="1443.29"/>
    <s v="Gastos Administrativos"/>
    <x v="0"/>
    <x v="0"/>
    <s v="92. Gerencia de Administración y Finanzas"/>
  </r>
  <r>
    <s v="94.4.1.1.013"/>
    <x v="0"/>
    <d v="2024-01-07T00:00:00"/>
    <s v="0500284240"/>
    <s v="DOC"/>
    <s v="DOC"/>
    <s v="DOCUMENTO POR.."/>
    <n v="251"/>
    <n v="72.6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1"/>
    <n v="72.63"/>
    <s v="Gastos Administrativos"/>
    <x v="0"/>
    <x v="0"/>
    <s v="92. Gerencia de Administración y Finanzas"/>
  </r>
  <r>
    <s v="94.1.1.1.040"/>
    <x v="7"/>
    <d v="2024-01-07T00:00:00"/>
    <s v="0900061433"/>
    <s v="DOC"/>
    <s v="DOC"/>
    <s v="DOCUMENTO POR.."/>
    <n v="7931"/>
    <n v="2294.85"/>
    <m/>
    <m/>
    <s v="05.40.61.93.9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931"/>
    <n v="2294.85"/>
    <s v="Gastos Administrativos"/>
    <x v="6"/>
    <x v="8"/>
    <s v="93. Gerencia de Operaciones"/>
  </r>
  <r>
    <s v="94.3.1.1.103"/>
    <x v="8"/>
    <d v="2024-01-07T00:00:00"/>
    <s v="0900061434"/>
    <s v="DOC"/>
    <s v="DOC"/>
    <s v="DOCUMENTO POR.."/>
    <n v="8781"/>
    <n v="2540.8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781"/>
    <n v="2540.8000000000002"/>
    <s v="Gasto venta Fijo"/>
    <x v="4"/>
    <x v="6"/>
    <s v="95. Gerencia Comercial y Marketing"/>
  </r>
  <r>
    <s v="94.3.1.1.103"/>
    <x v="8"/>
    <d v="2024-01-07T00:00:00"/>
    <s v="0900061434"/>
    <s v="DOC"/>
    <s v="DOC"/>
    <s v="DOCUMENTO POR.."/>
    <n v="6832"/>
    <n v="1976.8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32"/>
    <n v="1976.85"/>
    <s v="Gasto venta Fijo"/>
    <x v="4"/>
    <x v="6"/>
    <s v="95. Gerencia Comercial y Marketing"/>
  </r>
  <r>
    <s v="94.4.1.1.013"/>
    <x v="0"/>
    <d v="2024-01-08T00:00:00"/>
    <s v="0500282756"/>
    <s v="DOC"/>
    <s v="DOC"/>
    <s v="DOCUMENTO POR.."/>
    <n v="1427"/>
    <n v="412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427"/>
    <n v="412.91"/>
    <s v="Gastos Administrativos"/>
    <x v="0"/>
    <x v="3"/>
    <s v="92. Gerencia de Administración y Finanzas"/>
  </r>
  <r>
    <s v="94.4.1.1.013"/>
    <x v="0"/>
    <d v="2024-01-08T00:00:00"/>
    <s v="0500282788"/>
    <s v="DOC"/>
    <s v="DOC"/>
    <s v="DOCUMENTO POR.."/>
    <n v="2450"/>
    <n v="708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450"/>
    <n v="708.91"/>
    <s v="Gastos Administrativos"/>
    <x v="0"/>
    <x v="3"/>
    <s v="92. Gerencia de Administración y Finanzas"/>
  </r>
  <r>
    <s v="94.4.1.1.013"/>
    <x v="0"/>
    <d v="2024-01-08T00:00:00"/>
    <s v="0500284220"/>
    <s v="DOC"/>
    <s v="DOC"/>
    <s v="DOCUMENTO POR.."/>
    <n v="2099"/>
    <n v="607.3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099"/>
    <n v="607.35"/>
    <s v="Gastos Administrativos"/>
    <x v="0"/>
    <x v="0"/>
    <s v="92. Gerencia de Administración y Finanzas"/>
  </r>
  <r>
    <s v="94.4.1.1.013"/>
    <x v="0"/>
    <d v="2024-01-08T00:00:00"/>
    <s v="0500284227"/>
    <s v="DOC"/>
    <s v="DOC"/>
    <s v="DOCUMENTO POR.."/>
    <n v="5674"/>
    <n v="1641.7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74"/>
    <n v="1641.78"/>
    <s v="Gastos Administrativos"/>
    <x v="0"/>
    <x v="0"/>
    <s v="92. Gerencia de Administración y Finanzas"/>
  </r>
  <r>
    <s v="94.4.1.1.013"/>
    <x v="0"/>
    <d v="2024-01-08T00:00:00"/>
    <s v="0500284257"/>
    <s v="DOC"/>
    <s v="DOC"/>
    <s v="DOCUMENTO POR.."/>
    <n v="2908"/>
    <n v="841.4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908"/>
    <n v="841.44"/>
    <s v="Gastos Administrativos"/>
    <x v="0"/>
    <x v="3"/>
    <s v="92. Gerencia de Administración y Finanzas"/>
  </r>
  <r>
    <s v="94.4.1.1.013"/>
    <x v="0"/>
    <d v="2024-01-09T00:00:00"/>
    <s v="0500284221"/>
    <s v="DOC"/>
    <s v="DOC"/>
    <s v="DOCUMENTO POR.."/>
    <n v="6666"/>
    <n v="1928.8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66"/>
    <n v="1928.82"/>
    <s v="Gastos Administrativos"/>
    <x v="0"/>
    <x v="0"/>
    <s v="92. Gerencia de Administración y Finanzas"/>
  </r>
  <r>
    <s v="94.4.1.1.013"/>
    <x v="0"/>
    <d v="2024-01-09T00:00:00"/>
    <s v="0500284258"/>
    <s v="DOC"/>
    <s v="DOC"/>
    <s v="DOCUMENTO POR.."/>
    <n v="2963"/>
    <n v="857.3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963"/>
    <n v="857.35"/>
    <s v="Gastos Administrativos"/>
    <x v="0"/>
    <x v="3"/>
    <s v="92. Gerencia de Administración y Finanzas"/>
  </r>
  <r>
    <s v="94.3.1.1.010"/>
    <x v="9"/>
    <d v="2024-01-09T00:00:00"/>
    <s v="0700038040"/>
    <s v="DOC"/>
    <s v="DOC"/>
    <s v="DOCUMENTO POR.."/>
    <n v="5074"/>
    <n v="1468.17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074"/>
    <n v="1468.17"/>
    <s v="Gastos Administrativos"/>
    <x v="1"/>
    <x v="1"/>
    <s v="92. Gerencia de Administración y Finanzas"/>
  </r>
  <r>
    <s v="94.4.1.1.013"/>
    <x v="0"/>
    <d v="2024-01-10T00:00:00"/>
    <s v="0500284178"/>
    <s v="DOC"/>
    <s v="DOC"/>
    <s v="DOCUMENTO POR.."/>
    <n v="3033"/>
    <n v="877.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033"/>
    <n v="877.6"/>
    <s v="Gastos Administrativos"/>
    <x v="0"/>
    <x v="0"/>
    <s v="92. Gerencia de Administración y Finanzas"/>
  </r>
  <r>
    <s v="94.4.1.1.013"/>
    <x v="0"/>
    <d v="2024-01-10T00:00:00"/>
    <s v="0500284222"/>
    <s v="DOC"/>
    <s v="DOC"/>
    <s v="DOCUMENTO POR.."/>
    <n v="5491"/>
    <n v="1588.8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91"/>
    <n v="1588.83"/>
    <s v="Gastos Administrativos"/>
    <x v="0"/>
    <x v="0"/>
    <s v="92. Gerencia de Administración y Finanzas"/>
  </r>
  <r>
    <s v="94.4.1.1.013"/>
    <x v="0"/>
    <d v="2024-01-10T00:00:00"/>
    <s v="0500284277"/>
    <s v="DOC"/>
    <s v="DOC"/>
    <s v="DOCUMENTO POR.."/>
    <n v="941"/>
    <n v="272.2799999999999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941"/>
    <n v="272.27999999999997"/>
    <s v="Gastos Administrativos"/>
    <x v="0"/>
    <x v="0"/>
    <s v="92. Gerencia de Administración y Finanzas"/>
  </r>
  <r>
    <s v="94.5.1.1.029"/>
    <x v="10"/>
    <d v="2024-01-10T00:00:00"/>
    <s v="0900061490"/>
    <s v="DOC"/>
    <s v="DOC"/>
    <s v="DOCUMENTO POR.."/>
    <n v="8317"/>
    <n v="2406.54"/>
    <m/>
    <m/>
    <s v="05.40.61.10.99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317"/>
    <n v="2406.54"/>
    <s v="Gastos Administrativos"/>
    <x v="7"/>
    <x v="9"/>
    <s v="93. Gerencia de Operaciones"/>
  </r>
  <r>
    <s v="94.3.1.1.021"/>
    <x v="11"/>
    <d v="2024-01-10T00:00:00"/>
    <s v="1200030477"/>
    <s v="DOC"/>
    <s v="DOC"/>
    <s v="DOCUMENTO POR.."/>
    <n v="264"/>
    <n v="76.39"/>
    <m/>
    <m/>
    <s v="05.40.61.92.05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64"/>
    <n v="76.39"/>
    <s v="Gastos Administrativos"/>
    <x v="8"/>
    <x v="1"/>
    <s v="92. Gerencia de Administración y Finanzas"/>
  </r>
  <r>
    <s v="94.3.1.1.081"/>
    <x v="12"/>
    <d v="2024-01-10T00:00:00"/>
    <s v="1200030559"/>
    <s v="DOC"/>
    <s v="DOC"/>
    <s v="DOCUMENTO POR.."/>
    <n v="5652"/>
    <n v="1635.42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652"/>
    <n v="1635.42"/>
    <s v="Gastos Administrativos"/>
    <x v="9"/>
    <x v="5"/>
    <s v="93. Gerencia de Operaciones"/>
  </r>
  <r>
    <s v="94.4.1.1.013"/>
    <x v="0"/>
    <d v="2024-01-11T00:00:00"/>
    <s v="0500284179"/>
    <s v="DOC"/>
    <s v="DOC"/>
    <s v="DOCUMENTO POR.."/>
    <n v="7469"/>
    <n v="2161.1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469"/>
    <n v="2161.17"/>
    <s v="Gastos Administrativos"/>
    <x v="0"/>
    <x v="0"/>
    <s v="92. Gerencia de Administración y Finanzas"/>
  </r>
  <r>
    <s v="94.4.1.1.013"/>
    <x v="0"/>
    <d v="2024-01-11T00:00:00"/>
    <s v="0500284223"/>
    <s v="DOC"/>
    <s v="DOC"/>
    <s v="DOCUMENTO POR.."/>
    <n v="5826"/>
    <n v="1685.7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826"/>
    <n v="1685.76"/>
    <s v="Gastos Administrativos"/>
    <x v="0"/>
    <x v="0"/>
    <s v="92. Gerencia de Administración y Finanzas"/>
  </r>
  <r>
    <s v="94.4.1.1.013"/>
    <x v="0"/>
    <d v="2024-01-11T00:00:00"/>
    <s v="0500284241"/>
    <s v="DOC"/>
    <s v="DOC"/>
    <s v="DOCUMENTO POR.."/>
    <n v="6577"/>
    <n v="1903.0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77"/>
    <n v="1903.07"/>
    <s v="Gastos Administrativos"/>
    <x v="0"/>
    <x v="0"/>
    <s v="92. Gerencia de Administración y Finanzas"/>
  </r>
  <r>
    <s v="94.3.1.1.041"/>
    <x v="13"/>
    <d v="2024-01-11T00:00:00"/>
    <s v="0900061491"/>
    <s v="DOC"/>
    <s v="DOC"/>
    <s v="DOCUMENTO POR.."/>
    <n v="4441"/>
    <n v="1285.01"/>
    <m/>
    <m/>
    <s v="05.40.61.10.9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41"/>
    <n v="1285.01"/>
    <s v="Gastos Administrativos"/>
    <x v="10"/>
    <x v="9"/>
    <s v="93. Gerencia de Operaciones"/>
  </r>
  <r>
    <s v="94.3.1.1.065"/>
    <x v="14"/>
    <d v="2024-01-11T00:00:00"/>
    <s v="0900061493"/>
    <s v="DOC"/>
    <s v="DOC"/>
    <s v="DOCUMENTO POR.."/>
    <n v="5499"/>
    <n v="1591.1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499"/>
    <n v="1591.15"/>
    <s v="Gastos Administrativos"/>
    <x v="11"/>
    <x v="10"/>
    <s v="96. Gerencia General"/>
  </r>
  <r>
    <s v="94.3.1.1.080"/>
    <x v="5"/>
    <d v="2024-01-11T00:00:00"/>
    <s v="0900061494"/>
    <s v="DOC"/>
    <s v="DOC"/>
    <s v="DOCUMENTO POR.."/>
    <n v="3487"/>
    <n v="1008.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87"/>
    <n v="1008.97"/>
    <s v="Gasto venta Fijo"/>
    <x v="4"/>
    <x v="6"/>
    <s v="95. Gerencia Comercial y Marketing"/>
  </r>
  <r>
    <s v="94.3.1.1.080"/>
    <x v="5"/>
    <d v="2024-01-11T00:00:00"/>
    <s v="0900061494"/>
    <s v="DOC"/>
    <s v="DOC"/>
    <s v="DOCUMENTO POR.."/>
    <n v="8796"/>
    <n v="2545.1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796"/>
    <n v="2545.14"/>
    <s v="Gasto venta Fijo"/>
    <x v="4"/>
    <x v="6"/>
    <s v="95. Gerencia Comercial y Marketing"/>
  </r>
  <r>
    <s v="94.3.1.1.109"/>
    <x v="15"/>
    <d v="2024-01-11T00:00:00"/>
    <s v="0900061497"/>
    <s v="DOC"/>
    <s v="DOC"/>
    <s v="DOCUMENTO POR.."/>
    <n v="2415"/>
    <n v="698.78"/>
    <m/>
    <m/>
    <s v="05.40.61.95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15"/>
    <n v="698.78"/>
    <s v="Gasto venta Fijo"/>
    <x v="5"/>
    <x v="11"/>
    <s v="95. Gerencia Comercial y Marketing"/>
  </r>
  <r>
    <s v="94.3.1.1.080"/>
    <x v="5"/>
    <d v="2024-01-11T00:00:00"/>
    <s v="0900061506"/>
    <s v="DOC"/>
    <s v="DOC"/>
    <s v="DOCUMENTO POR.."/>
    <n v="6038"/>
    <n v="1747.1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38"/>
    <n v="1747.11"/>
    <s v="Gasto venta Fijo"/>
    <x v="4"/>
    <x v="6"/>
    <s v="95. Gerencia Comercial y Marketing"/>
  </r>
  <r>
    <s v="94.3.1.1.080"/>
    <x v="5"/>
    <d v="2024-01-11T00:00:00"/>
    <s v="0900061506"/>
    <s v="DOC"/>
    <s v="DOC"/>
    <s v="DOCUMENTO POR.."/>
    <n v="4834"/>
    <n v="1398.73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34"/>
    <n v="1398.73"/>
    <s v="Gasto venta Fijo"/>
    <x v="4"/>
    <x v="6"/>
    <s v="95. Gerencia Comercial y Marketing"/>
  </r>
  <r>
    <s v="94.3.1.1.081"/>
    <x v="12"/>
    <d v="2024-01-11T00:00:00"/>
    <s v="1200030450"/>
    <s v="DOC"/>
    <s v="DOC"/>
    <s v="DOCUMENTO POR.."/>
    <n v="1718"/>
    <n v="497.11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718"/>
    <n v="497.11"/>
    <s v="Gastos Administrativos"/>
    <x v="9"/>
    <x v="10"/>
    <s v="96. Gerencia General"/>
  </r>
  <r>
    <s v="94.1.1.1.018"/>
    <x v="2"/>
    <d v="2024-01-11T00:00:00"/>
    <s v="1200030451"/>
    <s v="DOC"/>
    <s v="DOC"/>
    <s v="DOCUMENTO POR.."/>
    <n v="6820"/>
    <n v="1973.38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820"/>
    <n v="1973.38"/>
    <s v="Gastos Administrativos"/>
    <x v="2"/>
    <x v="5"/>
    <s v="93. Gerencia de Operaciones"/>
  </r>
  <r>
    <s v="94.5.1.1.029"/>
    <x v="10"/>
    <d v="2024-01-11T00:00:00"/>
    <s v="1200030453"/>
    <s v="DOC"/>
    <s v="DOC"/>
    <s v="DOCUMENTO POR.."/>
    <n v="3315"/>
    <n v="959.2"/>
    <m/>
    <m/>
    <s v="05.40.61.96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315"/>
    <n v="959.2"/>
    <s v="Gastos Administrativos"/>
    <x v="7"/>
    <x v="10"/>
    <s v="96. Gerencia General"/>
  </r>
  <r>
    <s v="94.1.1.1.018"/>
    <x v="2"/>
    <d v="2024-01-11T00:00:00"/>
    <s v="1200030454"/>
    <s v="DOC"/>
    <s v="DOC"/>
    <s v="DOCUMENTO POR.."/>
    <n v="7996"/>
    <n v="2313.66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996"/>
    <n v="2313.66"/>
    <s v="Gastos Administrativos"/>
    <x v="2"/>
    <x v="10"/>
    <s v="96. Gerencia General"/>
  </r>
  <r>
    <s v="94.3.1.1.080"/>
    <x v="5"/>
    <d v="2024-01-11T00:00:00"/>
    <s v="1200030455"/>
    <s v="DOC"/>
    <s v="DOC"/>
    <s v="DOCUMENTO POR.."/>
    <n v="2490"/>
    <n v="720.49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490"/>
    <n v="720.49"/>
    <s v="Gasto venta Fijo"/>
    <x v="4"/>
    <x v="6"/>
    <s v="95. Gerencia Comercial y Marketing"/>
  </r>
  <r>
    <s v="94.3.1.1.080"/>
    <x v="5"/>
    <d v="2024-01-11T00:00:00"/>
    <s v="1200030456"/>
    <s v="DOC"/>
    <s v="DOC"/>
    <s v="DOCUMENTO POR.."/>
    <n v="8097"/>
    <n v="2342.88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097"/>
    <n v="2342.88"/>
    <s v="Gasto venta Fijo"/>
    <x v="4"/>
    <x v="12"/>
    <s v="95. Gerencia Comercial y Marketing"/>
  </r>
  <r>
    <s v="94.3.1.1.080"/>
    <x v="5"/>
    <d v="2024-01-11T00:00:00"/>
    <s v="1200030457"/>
    <s v="DOC"/>
    <s v="DOC"/>
    <s v="DOCUMENTO POR.."/>
    <n v="3801"/>
    <n v="1099.83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801"/>
    <n v="1099.83"/>
    <s v="Gasto venta Fijo"/>
    <x v="4"/>
    <x v="12"/>
    <s v="95. Gerencia Comercial y Marketing"/>
  </r>
  <r>
    <s v="94.3.1.1.080"/>
    <x v="5"/>
    <d v="2024-01-11T00:00:00"/>
    <s v="1200030458"/>
    <s v="DOC"/>
    <s v="DOC"/>
    <s v="DOCUMENTO POR.."/>
    <n v="252"/>
    <n v="72.92"/>
    <m/>
    <m/>
    <s v="05.40.61.95.03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2"/>
    <n v="72.92"/>
    <s v="Gasto venta Fijo"/>
    <x v="4"/>
    <x v="12"/>
    <s v="95. Gerencia Comercial y Marketing"/>
  </r>
  <r>
    <s v="94.3.1.1.020"/>
    <x v="16"/>
    <d v="2024-01-11T00:00:00"/>
    <s v="1200030459"/>
    <s v="DOC"/>
    <s v="DOC"/>
    <s v="DOCUMENTO POR.."/>
    <n v="475"/>
    <n v="137.44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75"/>
    <n v="137.44"/>
    <s v="Gastos Administrativos"/>
    <x v="8"/>
    <x v="5"/>
    <s v="93. Gerencia de Operaciones"/>
  </r>
  <r>
    <s v="94.3.1.1.081"/>
    <x v="12"/>
    <d v="2024-01-11T00:00:00"/>
    <s v="1200030460"/>
    <s v="DOC"/>
    <s v="DOC"/>
    <s v="DOCUMENTO POR.."/>
    <n v="4284"/>
    <n v="1239.58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84"/>
    <n v="1239.58"/>
    <s v="Gastos Administrativos"/>
    <x v="9"/>
    <x v="13"/>
    <s v="92. Gerencia de Administración y Finanzas"/>
  </r>
  <r>
    <s v="94.5.1.1.046"/>
    <x v="17"/>
    <d v="2024-01-11T00:00:00"/>
    <s v="1200030461"/>
    <s v="DOC"/>
    <s v="DOC"/>
    <s v="DOCUMENTO POR.."/>
    <n v="5185"/>
    <n v="1500.29"/>
    <m/>
    <m/>
    <s v="05.40.61.92.05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185"/>
    <n v="1500.29"/>
    <s v="Gastos Administrativos"/>
    <x v="12"/>
    <x v="1"/>
    <s v="92. Gerencia de Administración y Finanzas"/>
  </r>
  <r>
    <s v="94.3.1.1.080"/>
    <x v="5"/>
    <d v="2024-01-11T00:00:00"/>
    <s v="1200030462"/>
    <s v="DOC"/>
    <s v="DOC"/>
    <s v="DOCUMENTO POR.."/>
    <n v="3166"/>
    <n v="916.09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166"/>
    <n v="916.09"/>
    <s v="Gasto venta Fijo"/>
    <x v="4"/>
    <x v="6"/>
    <s v="95. Gerencia Comercial y Marketing"/>
  </r>
  <r>
    <s v="94.3.1.1.080"/>
    <x v="5"/>
    <d v="2024-01-11T00:00:00"/>
    <s v="1200030463"/>
    <s v="DOC"/>
    <s v="DOC"/>
    <s v="DOCUMENTO POR.."/>
    <n v="2249"/>
    <n v="650.7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49"/>
    <n v="650.75"/>
    <s v="Gasto venta Fijo"/>
    <x v="4"/>
    <x v="6"/>
    <s v="95. Gerencia Comercial y Marketing"/>
  </r>
  <r>
    <s v="94.3.1.1.005"/>
    <x v="18"/>
    <d v="2024-01-11T00:00:00"/>
    <s v="1200030464"/>
    <s v="DOC"/>
    <s v="DOC"/>
    <s v="DOCUMENTO POR.."/>
    <n v="121"/>
    <n v="35.01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21"/>
    <n v="35.01"/>
    <s v="Gastos Administrativos"/>
    <x v="13"/>
    <x v="7"/>
    <s v="92. Gerencia de Administración y Finanzas"/>
  </r>
  <r>
    <s v="94.4.1.1.015"/>
    <x v="4"/>
    <d v="2024-01-11T00:00:00"/>
    <s v="1200030465"/>
    <s v="DOC"/>
    <s v="DOC"/>
    <s v="DOCUMENTO POR.."/>
    <n v="3005"/>
    <n v="869.5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005"/>
    <n v="869.5"/>
    <s v="Gastos Administrativos"/>
    <x v="0"/>
    <x v="13"/>
    <s v="92. Gerencia de Administración y Finanzas"/>
  </r>
  <r>
    <s v="94.3.1.1.081"/>
    <x v="12"/>
    <d v="2024-01-11T00:00:00"/>
    <s v="1200030467"/>
    <s v="DOC"/>
    <s v="DOC"/>
    <s v="DOCUMENTO POR.."/>
    <n v="1319"/>
    <n v="381.66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319"/>
    <n v="381.66"/>
    <s v="Gastos Administrativos"/>
    <x v="9"/>
    <x v="5"/>
    <s v="93. Gerencia de Operaciones"/>
  </r>
  <r>
    <s v="94.1.1.1.018"/>
    <x v="2"/>
    <d v="2024-01-11T00:00:00"/>
    <s v="1200030468"/>
    <s v="DOC"/>
    <s v="DOC"/>
    <s v="DOCUMENTO POR.."/>
    <n v="4977"/>
    <n v="1440.1"/>
    <m/>
    <m/>
    <s v="05.40.61.93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977"/>
    <n v="1440.1"/>
    <s v="Gastos Administrativos"/>
    <x v="2"/>
    <x v="5"/>
    <s v="93. Gerencia de Operaciones"/>
  </r>
  <r>
    <s v="94.1.1.1.019"/>
    <x v="19"/>
    <d v="2024-01-11T00:00:00"/>
    <s v="1200030469"/>
    <s v="DOC"/>
    <s v="DOC"/>
    <s v="DOCUMENTO POR.."/>
    <n v="5042"/>
    <n v="1458.91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042"/>
    <n v="1458.91"/>
    <s v="Gastos Administrativos"/>
    <x v="0"/>
    <x v="13"/>
    <s v="92. Gerencia de Administración y Finanzas"/>
  </r>
  <r>
    <s v="94.3.1.1.081"/>
    <x v="12"/>
    <d v="2024-01-11T00:00:00"/>
    <s v="1200030470"/>
    <s v="DOC"/>
    <s v="DOC"/>
    <s v="DOCUMENTO POR.."/>
    <n v="1588"/>
    <n v="459.49"/>
    <m/>
    <m/>
    <s v="05.40.61.93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588"/>
    <n v="459.49"/>
    <s v="Gastos Administrativos"/>
    <x v="9"/>
    <x v="5"/>
    <s v="93. Gerencia de Operaciones"/>
  </r>
  <r>
    <s v="94.3.1.1.065"/>
    <x v="14"/>
    <d v="2024-01-11T00:00:00"/>
    <s v="1200030471"/>
    <s v="DOC"/>
    <s v="DOC"/>
    <s v="DOCUMENTO POR.."/>
    <n v="3454"/>
    <n v="999.42"/>
    <m/>
    <m/>
    <s v="05.40.61.93.02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454"/>
    <n v="999.42"/>
    <s v="Gastos Administrativos"/>
    <x v="11"/>
    <x v="14"/>
    <s v="93. Gerencia de Operaciones"/>
  </r>
  <r>
    <s v="94.5.1.1.029"/>
    <x v="10"/>
    <d v="2024-01-11T00:00:00"/>
    <s v="1200030472"/>
    <s v="DOC"/>
    <s v="DOC"/>
    <s v="DOCUMENTO POR.."/>
    <n v="2208"/>
    <n v="638.89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08"/>
    <n v="638.89"/>
    <s v="Gasto venta Fijo"/>
    <x v="7"/>
    <x v="6"/>
    <s v="95. Gerencia Comercial y Marketing"/>
  </r>
  <r>
    <s v="94.5.1.1.029"/>
    <x v="10"/>
    <d v="2024-01-11T00:00:00"/>
    <s v="1200030473"/>
    <s v="DOC"/>
    <s v="DOC"/>
    <s v="DOCUMENTO POR.."/>
    <n v="7678"/>
    <n v="2221.64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678"/>
    <n v="2221.64"/>
    <s v="Gastos Administrativos"/>
    <x v="7"/>
    <x v="13"/>
    <s v="92. Gerencia de Administración y Finanzas"/>
  </r>
  <r>
    <s v="94.5.1.1.029"/>
    <x v="10"/>
    <d v="2024-01-11T00:00:00"/>
    <s v="1200030474"/>
    <s v="DOC"/>
    <s v="DOC"/>
    <s v="DOCUMENTO POR.."/>
    <n v="252"/>
    <n v="72.92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2"/>
    <n v="72.92"/>
    <s v="Gasto venta Fijo"/>
    <x v="7"/>
    <x v="6"/>
    <s v="95. Gerencia Comercial y Marketing"/>
  </r>
  <r>
    <s v="94.5.1.1.029"/>
    <x v="10"/>
    <d v="2024-01-11T00:00:00"/>
    <s v="1200030475"/>
    <s v="DOC"/>
    <s v="DOC"/>
    <s v="DOCUMENTO POR.."/>
    <n v="2657"/>
    <n v="768.81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657"/>
    <n v="768.81"/>
    <s v="Gastos Administrativos"/>
    <x v="7"/>
    <x v="13"/>
    <s v="92. Gerencia de Administración y Finanzas"/>
  </r>
  <r>
    <s v="94.4.1.1.013"/>
    <x v="0"/>
    <d v="2024-01-12T00:00:00"/>
    <s v="0500282757"/>
    <s v="DOC"/>
    <s v="DOC"/>
    <s v="DOCUMENTO POR.."/>
    <n v="7679"/>
    <n v="2221.929999999999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679"/>
    <n v="2221.9299999999998"/>
    <s v="Gastos Administrativos"/>
    <x v="0"/>
    <x v="3"/>
    <s v="92. Gerencia de Administración y Finanzas"/>
  </r>
  <r>
    <s v="94.4.1.1.013"/>
    <x v="0"/>
    <d v="2024-01-12T00:00:00"/>
    <s v="0500282789"/>
    <s v="DOC"/>
    <s v="DOC"/>
    <s v="DOCUMENTO POR.."/>
    <n v="7486"/>
    <n v="2166.0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486"/>
    <n v="2166.09"/>
    <s v="Gastos Administrativos"/>
    <x v="0"/>
    <x v="3"/>
    <s v="92. Gerencia de Administración y Finanzas"/>
  </r>
  <r>
    <s v="94.4.1.1.013"/>
    <x v="0"/>
    <d v="2024-01-12T00:00:00"/>
    <s v="0500282797"/>
    <s v="DOC"/>
    <s v="DOC"/>
    <s v="DOCUMENTO POR.."/>
    <n v="6840"/>
    <n v="1979.1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40"/>
    <n v="1979.17"/>
    <s v="Gastos Administrativos"/>
    <x v="0"/>
    <x v="3"/>
    <s v="92. Gerencia de Administración y Finanzas"/>
  </r>
  <r>
    <s v="94.4.1.1.013"/>
    <x v="0"/>
    <d v="2024-01-12T00:00:00"/>
    <s v="0500284180"/>
    <s v="DOC"/>
    <s v="DOC"/>
    <s v="DOCUMENTO POR.."/>
    <n v="1029"/>
    <n v="297.7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029"/>
    <n v="297.74"/>
    <s v="Gastos Administrativos"/>
    <x v="0"/>
    <x v="0"/>
    <s v="92. Gerencia de Administración y Finanzas"/>
  </r>
  <r>
    <s v="94.4.1.1.013"/>
    <x v="0"/>
    <d v="2024-01-12T00:00:00"/>
    <s v="0500284190"/>
    <s v="DOC"/>
    <s v="DOC"/>
    <s v="DOCUMENTO POR.."/>
    <n v="5199"/>
    <n v="1504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199"/>
    <n v="1504.34"/>
    <s v="Gastos Administrativos"/>
    <x v="0"/>
    <x v="0"/>
    <s v="92. Gerencia de Administración y Finanzas"/>
  </r>
  <r>
    <s v="94.4.1.1.013"/>
    <x v="0"/>
    <d v="2024-01-12T00:00:00"/>
    <s v="0500284205"/>
    <s v="DOC"/>
    <s v="DOC"/>
    <s v="DOCUMENTO POR.."/>
    <n v="2391"/>
    <n v="691.8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91"/>
    <n v="691.84"/>
    <s v="Gastos Administrativos"/>
    <x v="0"/>
    <x v="0"/>
    <s v="92. Gerencia de Administración y Finanzas"/>
  </r>
  <r>
    <s v="94.4.1.1.013"/>
    <x v="0"/>
    <d v="2024-01-12T00:00:00"/>
    <s v="0500284228"/>
    <s v="DOC"/>
    <s v="DOC"/>
    <s v="DOCUMENTO POR.."/>
    <n v="6839"/>
    <n v="1978.8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39"/>
    <n v="1978.88"/>
    <s v="Gastos Administrativos"/>
    <x v="0"/>
    <x v="0"/>
    <s v="92. Gerencia de Administración y Finanzas"/>
  </r>
  <r>
    <s v="94.4.1.1.013"/>
    <x v="0"/>
    <d v="2024-01-12T00:00:00"/>
    <s v="0500284259"/>
    <s v="DOC"/>
    <s v="DOC"/>
    <s v="DOCUMENTO POR.."/>
    <n v="4425"/>
    <n v="1280.38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25"/>
    <n v="1280.3800000000001"/>
    <s v="Gastos Administrativos"/>
    <x v="0"/>
    <x v="3"/>
    <s v="92. Gerencia de Administración y Finanzas"/>
  </r>
  <r>
    <s v="94.3.1.1.050"/>
    <x v="20"/>
    <d v="2024-01-12T00:00:00"/>
    <s v="0900061508"/>
    <s v="DOC"/>
    <s v="DOC"/>
    <s v="DOCUMENTO POR.."/>
    <n v="7894"/>
    <n v="2284.14"/>
    <m/>
    <m/>
    <s v="05.40.61.92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894"/>
    <n v="2284.14"/>
    <s v="Gastos Administrativos"/>
    <x v="14"/>
    <x v="15"/>
    <s v="92. Gerencia de Administración y Finanzas"/>
  </r>
  <r>
    <s v="94.3.1.1.050"/>
    <x v="20"/>
    <d v="2024-01-12T00:00:00"/>
    <s v="0900061508"/>
    <s v="DOC"/>
    <s v="DOC"/>
    <s v="DOCUMENTO POR.."/>
    <n v="5925"/>
    <n v="1714.41"/>
    <m/>
    <m/>
    <s v="05.40.61.92.02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925"/>
    <n v="1714.41"/>
    <s v="Gastos Administrativos"/>
    <x v="14"/>
    <x v="15"/>
    <s v="92. Gerencia de Administración y Finanzas"/>
  </r>
  <r>
    <s v="94.3.1.1.050"/>
    <x v="20"/>
    <d v="2024-01-12T00:00:00"/>
    <s v="0900061508"/>
    <s v="DOC"/>
    <s v="DOC"/>
    <s v="DOCUMENTO POR.."/>
    <n v="2960"/>
    <n v="856.48"/>
    <m/>
    <m/>
    <s v="05.40.61.92.02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960"/>
    <n v="856.48"/>
    <s v="Gastos Administrativos"/>
    <x v="14"/>
    <x v="15"/>
    <s v="92. Gerencia de Administración y Finanzas"/>
  </r>
  <r>
    <s v="94.3.1.1.080"/>
    <x v="5"/>
    <d v="2024-01-12T00:00:00"/>
    <s v="0900061511"/>
    <s v="DOC"/>
    <s v="DOC"/>
    <s v="DOCUMENTO POR.."/>
    <n v="5844"/>
    <n v="1690.9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844"/>
    <n v="1690.97"/>
    <s v="Gasto venta Fijo"/>
    <x v="4"/>
    <x v="6"/>
    <s v="95. Gerencia Comercial y Marketing"/>
  </r>
  <r>
    <s v="94.3.1.1.080"/>
    <x v="5"/>
    <d v="2024-01-12T00:00:00"/>
    <s v="0900061511"/>
    <s v="DOC"/>
    <s v="DOC"/>
    <s v="DOCUMENTO POR.."/>
    <n v="4450"/>
    <n v="1287.619999999999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50"/>
    <n v="1287.6199999999999"/>
    <s v="Gasto venta Fijo"/>
    <x v="4"/>
    <x v="6"/>
    <s v="95. Gerencia Comercial y Marketing"/>
  </r>
  <r>
    <s v="94.1.1.1.034"/>
    <x v="21"/>
    <d v="2024-01-12T00:00:00"/>
    <s v="0900061515"/>
    <s v="DOC"/>
    <s v="DOC"/>
    <s v="DOCUMENTO POR.."/>
    <n v="3082"/>
    <n v="891.7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082"/>
    <n v="891.78"/>
    <s v="Gastos Administrativos"/>
    <x v="15"/>
    <x v="10"/>
    <s v="96. Gerencia General"/>
  </r>
  <r>
    <s v="94.1.1.1.034"/>
    <x v="21"/>
    <d v="2024-01-12T00:00:00"/>
    <s v="0900061517"/>
    <s v="DOC"/>
    <s v="DOC"/>
    <s v="DOCUMENTO POR.."/>
    <n v="1107"/>
    <n v="320.31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07"/>
    <n v="320.31"/>
    <s v="Gastos Administrativos"/>
    <x v="15"/>
    <x v="10"/>
    <s v="96. Gerencia General"/>
  </r>
  <r>
    <s v="94.1.1.1.034"/>
    <x v="21"/>
    <d v="2024-01-12T00:00:00"/>
    <s v="0900061519"/>
    <s v="DOC"/>
    <s v="DOC"/>
    <s v="DOCUMENTO POR.."/>
    <n v="5367"/>
    <n v="1552.9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67"/>
    <n v="1552.95"/>
    <s v="Gastos Administrativos"/>
    <x v="15"/>
    <x v="10"/>
    <s v="96. Gerencia General"/>
  </r>
  <r>
    <s v="94.1.1.1.034"/>
    <x v="21"/>
    <d v="2024-01-12T00:00:00"/>
    <s v="0900061521"/>
    <s v="DOC"/>
    <s v="DOC"/>
    <s v="DOCUMENTO POR.."/>
    <n v="152"/>
    <n v="43.9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52"/>
    <n v="43.98"/>
    <s v="Gastos Administrativos"/>
    <x v="15"/>
    <x v="10"/>
    <s v="96. Gerencia General"/>
  </r>
  <r>
    <s v="94.1.1.1.034"/>
    <x v="21"/>
    <d v="2024-01-12T00:00:00"/>
    <s v="0900061523"/>
    <s v="DOC"/>
    <s v="DOC"/>
    <s v="DOCUMENTO POR.."/>
    <n v="7891"/>
    <n v="2283.2800000000002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891"/>
    <n v="2283.2800000000002"/>
    <s v="Gastos Administrativos"/>
    <x v="15"/>
    <x v="10"/>
    <s v="96. Gerencia General"/>
  </r>
  <r>
    <s v="94.1.1.1.034"/>
    <x v="21"/>
    <d v="2024-01-12T00:00:00"/>
    <s v="0900061525"/>
    <s v="DOC"/>
    <s v="DOC"/>
    <s v="DOCUMENTO POR.."/>
    <n v="3740"/>
    <n v="1082.1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740"/>
    <n v="1082.18"/>
    <s v="Gastos Administrativos"/>
    <x v="15"/>
    <x v="10"/>
    <s v="96. Gerencia General"/>
  </r>
  <r>
    <s v="94.5.1.1.029"/>
    <x v="10"/>
    <d v="2024-01-12T00:00:00"/>
    <s v="1200030530"/>
    <s v="DOC"/>
    <s v="DOC"/>
    <s v="DOCUMENTO POR.."/>
    <n v="5904"/>
    <n v="1708.33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904"/>
    <n v="1708.33"/>
    <s v="Gasto venta Fijo"/>
    <x v="7"/>
    <x v="6"/>
    <s v="95. Gerencia Comercial y Marketing"/>
  </r>
  <r>
    <s v="94.4.1.1.013"/>
    <x v="0"/>
    <d v="2024-01-13T00:00:00"/>
    <s v="0500284191"/>
    <s v="DOC"/>
    <s v="DOC"/>
    <s v="DOCUMENTO POR.."/>
    <n v="7757"/>
    <n v="2244.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757"/>
    <n v="2244.5"/>
    <s v="Gastos Administrativos"/>
    <x v="0"/>
    <x v="0"/>
    <s v="92. Gerencia de Administración y Finanzas"/>
  </r>
  <r>
    <s v="94.4.1.1.013"/>
    <x v="0"/>
    <d v="2024-01-14T00:00:00"/>
    <s v="0500284206"/>
    <s v="DOC"/>
    <s v="DOC"/>
    <s v="DOCUMENTO POR.."/>
    <n v="8247"/>
    <n v="2386.28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47"/>
    <n v="2386.2800000000002"/>
    <s v="Gastos Administrativos"/>
    <x v="0"/>
    <x v="0"/>
    <s v="92. Gerencia de Administración y Finanzas"/>
  </r>
  <r>
    <s v="94.4.1.1.013"/>
    <x v="0"/>
    <d v="2024-01-14T00:00:00"/>
    <s v="0500284242"/>
    <s v="DOC"/>
    <s v="DOC"/>
    <s v="DOCUMENTO POR.."/>
    <n v="2674"/>
    <n v="773.7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674"/>
    <n v="773.73"/>
    <s v="Gastos Administrativos"/>
    <x v="0"/>
    <x v="0"/>
    <s v="92. Gerencia de Administración y Finanzas"/>
  </r>
  <r>
    <s v="94.4.1.1.013"/>
    <x v="0"/>
    <d v="2024-01-14T00:00:00"/>
    <s v="0500284278"/>
    <s v="DOC"/>
    <s v="DOC"/>
    <s v="DOCUMENTO POR.."/>
    <n v="445"/>
    <n v="128.7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5"/>
    <n v="128.76"/>
    <s v="Gastos Administrativos"/>
    <x v="0"/>
    <x v="0"/>
    <s v="92. Gerencia de Administración y Finanzas"/>
  </r>
  <r>
    <s v="94.4.1.1.013"/>
    <x v="0"/>
    <d v="2024-01-15T00:00:00"/>
    <s v="0500283398"/>
    <s v="DOC"/>
    <s v="DOC"/>
    <s v="DOCUMENTO POR.."/>
    <n v="6531"/>
    <n v="1889.7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31"/>
    <n v="1889.76"/>
    <s v="Gastos Administrativos"/>
    <x v="0"/>
    <x v="3"/>
    <s v="92. Gerencia de Administración y Finanzas"/>
  </r>
  <r>
    <s v="94.4.1.1.013"/>
    <x v="0"/>
    <d v="2024-01-15T00:00:00"/>
    <s v="0500284181"/>
    <s v="DOC"/>
    <s v="DOC"/>
    <s v="DOCUMENTO POR.."/>
    <n v="6549"/>
    <n v="1894.9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549"/>
    <n v="1894.97"/>
    <s v="Gastos Administrativos"/>
    <x v="0"/>
    <x v="0"/>
    <s v="92. Gerencia de Administración y Finanzas"/>
  </r>
  <r>
    <s v="94.4.1.1.013"/>
    <x v="0"/>
    <d v="2024-01-15T00:00:00"/>
    <s v="0500284182"/>
    <s v="DOC"/>
    <s v="DOC"/>
    <s v="DOCUMENTO POR.."/>
    <n v="8814"/>
    <n v="2550.3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814"/>
    <n v="2550.35"/>
    <s v="Gastos Administrativos"/>
    <x v="0"/>
    <x v="3"/>
    <s v="92. Gerencia de Administración y Finanzas"/>
  </r>
  <r>
    <s v="94.4.1.1.013"/>
    <x v="0"/>
    <d v="2024-01-15T00:00:00"/>
    <s v="0500284207"/>
    <s v="DOC"/>
    <s v="DOC"/>
    <s v="DOCUMENTO POR.."/>
    <n v="363"/>
    <n v="105.0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63"/>
    <n v="105.03"/>
    <s v="Gastos Administrativos"/>
    <x v="0"/>
    <x v="0"/>
    <s v="92. Gerencia de Administración y Finanzas"/>
  </r>
  <r>
    <s v="94.4.1.1.013"/>
    <x v="0"/>
    <d v="2024-01-15T00:00:00"/>
    <s v="0500284229"/>
    <s v="DOC"/>
    <s v="DOC"/>
    <s v="DOCUMENTO POR.."/>
    <n v="1537"/>
    <n v="444.7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537"/>
    <n v="444.73"/>
    <s v="Gastos Administrativos"/>
    <x v="0"/>
    <x v="0"/>
    <s v="92. Gerencia de Administración y Finanzas"/>
  </r>
  <r>
    <s v="94.4.1.1.013"/>
    <x v="0"/>
    <d v="2024-01-15T00:00:00"/>
    <s v="0500284243"/>
    <s v="DOC"/>
    <s v="DOC"/>
    <s v="DOCUMENTO POR.."/>
    <n v="8963"/>
    <n v="2593.4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63"/>
    <n v="2593.46"/>
    <s v="Gastos Administrativos"/>
    <x v="0"/>
    <x v="0"/>
    <s v="92. Gerencia de Administración y Finanzas"/>
  </r>
  <r>
    <s v="94.4.1.1.013"/>
    <x v="0"/>
    <d v="2024-01-15T00:00:00"/>
    <s v="0500284260"/>
    <s v="DOC"/>
    <s v="DOC"/>
    <s v="DOCUMENTO POR.."/>
    <n v="1120"/>
    <n v="324.0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120"/>
    <n v="324.07"/>
    <s v="Gastos Administrativos"/>
    <x v="0"/>
    <x v="3"/>
    <s v="92. Gerencia de Administración y Finanzas"/>
  </r>
  <r>
    <s v="94.4.1.1.013"/>
    <x v="0"/>
    <d v="2024-01-15T00:00:00"/>
    <s v="0500284279"/>
    <s v="DOC"/>
    <s v="DOC"/>
    <s v="DOCUMENTO POR.."/>
    <n v="473"/>
    <n v="136.8600000000000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73"/>
    <n v="136.86000000000001"/>
    <s v="Gastos Administrativos"/>
    <x v="0"/>
    <x v="0"/>
    <s v="92. Gerencia de Administración y Finanzas"/>
  </r>
  <r>
    <s v="94.3.1.1.080"/>
    <x v="5"/>
    <d v="2024-01-15T00:00:00"/>
    <s v="0900061532"/>
    <s v="DOC"/>
    <s v="DOC"/>
    <s v="DOCUMENTO POR.."/>
    <n v="6469"/>
    <n v="1871.8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469"/>
    <n v="1871.82"/>
    <s v="Gasto venta Fijo"/>
    <x v="4"/>
    <x v="6"/>
    <s v="95. Gerencia Comercial y Marketing"/>
  </r>
  <r>
    <s v="94.3.1.1.080"/>
    <x v="5"/>
    <d v="2024-01-15T00:00:00"/>
    <s v="0900061532"/>
    <s v="DOC"/>
    <s v="DOC"/>
    <s v="DOCUMENTO POR.."/>
    <n v="2654"/>
    <n v="767.9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654"/>
    <n v="767.94"/>
    <s v="Gasto venta Fijo"/>
    <x v="4"/>
    <x v="6"/>
    <s v="95. Gerencia Comercial y Marketing"/>
  </r>
  <r>
    <s v="94.4.1.1.013"/>
    <x v="0"/>
    <d v="2024-01-16T00:00:00"/>
    <s v="0500284192"/>
    <s v="DOC"/>
    <s v="DOC"/>
    <s v="DOCUMENTO POR.."/>
    <n v="8137"/>
    <n v="2354.4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137"/>
    <n v="2354.46"/>
    <s v="Gastos Administrativos"/>
    <x v="0"/>
    <x v="0"/>
    <s v="92. Gerencia de Administración y Finanzas"/>
  </r>
  <r>
    <s v="94.4.1.1.013"/>
    <x v="0"/>
    <d v="2024-01-16T00:00:00"/>
    <s v="0500284208"/>
    <s v="DOC"/>
    <s v="DOC"/>
    <s v="DOCUMENTO POR.."/>
    <n v="1618"/>
    <n v="468.1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618"/>
    <n v="468.17"/>
    <s v="Gastos Administrativos"/>
    <x v="0"/>
    <x v="0"/>
    <s v="92. Gerencia de Administración y Finanzas"/>
  </r>
  <r>
    <s v="94.4.1.1.013"/>
    <x v="0"/>
    <d v="2024-01-16T00:00:00"/>
    <s v="0500284230"/>
    <s v="DOC"/>
    <s v="DOC"/>
    <s v="DOCUMENTO POR.."/>
    <n v="4257"/>
    <n v="1231.7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57"/>
    <n v="1231.77"/>
    <s v="Gastos Administrativos"/>
    <x v="0"/>
    <x v="0"/>
    <s v="92. Gerencia de Administración y Finanzas"/>
  </r>
  <r>
    <s v="94.4.1.1.013"/>
    <x v="0"/>
    <d v="2024-01-16T00:00:00"/>
    <s v="0500284263"/>
    <s v="DOC"/>
    <s v="DOC"/>
    <s v="DOCUMENTO POR.."/>
    <n v="6865"/>
    <n v="1986.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65"/>
    <n v="1986.4"/>
    <s v="Gastos Administrativos"/>
    <x v="0"/>
    <x v="3"/>
    <s v="92. Gerencia de Administración y Finanzas"/>
  </r>
  <r>
    <s v="94.5.1.1.009"/>
    <x v="22"/>
    <d v="2024-01-16T00:00:00"/>
    <s v="0900061536"/>
    <s v="DOC"/>
    <s v="DOC"/>
    <s v="DOCUMENTO POR.."/>
    <n v="2275"/>
    <n v="658.28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275"/>
    <n v="658.28"/>
    <s v="Gastos Administrativos"/>
    <x v="16"/>
    <x v="10"/>
    <s v="96. Gerencia General"/>
  </r>
  <r>
    <s v="94.5.1.1.009"/>
    <x v="22"/>
    <d v="2024-01-16T00:00:00"/>
    <s v="0900061537"/>
    <s v="DOC"/>
    <s v="DOC"/>
    <s v="DOCUMENTO POR.."/>
    <n v="7181"/>
    <n v="2077.84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181"/>
    <n v="2077.84"/>
    <s v="Gastos Administrativos"/>
    <x v="16"/>
    <x v="10"/>
    <s v="96. Gerencia General"/>
  </r>
  <r>
    <s v="94.3.1.1.081"/>
    <x v="12"/>
    <d v="2024-01-16T00:00:00"/>
    <s v="0900061549"/>
    <s v="DOC"/>
    <s v="DOC"/>
    <s v="DOCUMENTO POR.."/>
    <n v="1879"/>
    <n v="543.69000000000005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879"/>
    <n v="543.69000000000005"/>
    <s v="Gastos Administrativos"/>
    <x v="9"/>
    <x v="10"/>
    <s v="96. Gerencia General"/>
  </r>
  <r>
    <s v="94.3.1.1.080"/>
    <x v="5"/>
    <d v="2024-01-16T00:00:00"/>
    <s v="0900061553"/>
    <s v="DOC"/>
    <s v="DOC"/>
    <s v="DOCUMENTO POR.."/>
    <n v="3695"/>
    <n v="1069.160000000000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95"/>
    <n v="1069.1600000000001"/>
    <s v="Gasto venta Fijo"/>
    <x v="4"/>
    <x v="6"/>
    <s v="95. Gerencia Comercial y Marketing"/>
  </r>
  <r>
    <s v="94.3.1.1.080"/>
    <x v="5"/>
    <d v="2024-01-16T00:00:00"/>
    <s v="0900061553"/>
    <s v="DOC"/>
    <s v="DOC"/>
    <s v="DOCUMENTO POR.."/>
    <n v="1063"/>
    <n v="307.5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063"/>
    <n v="307.58"/>
    <s v="Gasto venta Fijo"/>
    <x v="4"/>
    <x v="6"/>
    <s v="95. Gerencia Comercial y Marketing"/>
  </r>
  <r>
    <s v="94.3.1.1.080"/>
    <x v="5"/>
    <d v="2024-01-16T00:00:00"/>
    <s v="0900061562"/>
    <s v="DOC"/>
    <s v="DOC"/>
    <s v="DOCUMENTO POR.."/>
    <n v="8133"/>
    <n v="2353.3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133"/>
    <n v="2353.3000000000002"/>
    <s v="Gasto venta Fijo"/>
    <x v="4"/>
    <x v="6"/>
    <s v="95. Gerencia Comercial y Marketing"/>
  </r>
  <r>
    <s v="94.3.1.1.080"/>
    <x v="5"/>
    <d v="2024-01-16T00:00:00"/>
    <s v="0900061562"/>
    <s v="DOC"/>
    <s v="DOC"/>
    <s v="DOCUMENTO POR.."/>
    <n v="3428"/>
    <n v="991.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28"/>
    <n v="991.9"/>
    <s v="Gasto venta Fijo"/>
    <x v="4"/>
    <x v="6"/>
    <s v="95. Gerencia Comercial y Marketing"/>
  </r>
  <r>
    <s v="94.4.1.1.013"/>
    <x v="0"/>
    <d v="2024-01-17T00:00:00"/>
    <s v="0500283401"/>
    <s v="DOC"/>
    <s v="DOC"/>
    <s v="DOCUMENTO POR.."/>
    <n v="453"/>
    <n v="131.080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53"/>
    <n v="131.08000000000001"/>
    <s v="Gastos Administrativos"/>
    <x v="0"/>
    <x v="3"/>
    <s v="92. Gerencia de Administración y Finanzas"/>
  </r>
  <r>
    <s v="94.4.1.1.013"/>
    <x v="0"/>
    <d v="2024-01-17T00:00:00"/>
    <s v="0500284183"/>
    <s v="DOC"/>
    <s v="DOC"/>
    <s v="DOCUMENTO POR.."/>
    <n v="127"/>
    <n v="36.75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27"/>
    <n v="36.75"/>
    <s v="Gastos Administrativos"/>
    <x v="0"/>
    <x v="0"/>
    <s v="92. Gerencia de Administración y Finanzas"/>
  </r>
  <r>
    <s v="94.4.1.1.013"/>
    <x v="0"/>
    <d v="2024-01-17T00:00:00"/>
    <s v="0500284244"/>
    <s v="DOC"/>
    <s v="DOC"/>
    <s v="DOCUMENTO POR.."/>
    <n v="8245"/>
    <n v="2385.7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45"/>
    <n v="2385.71"/>
    <s v="Gastos Administrativos"/>
    <x v="0"/>
    <x v="0"/>
    <s v="92. Gerencia de Administración y Finanzas"/>
  </r>
  <r>
    <s v="94.4.1.1.013"/>
    <x v="0"/>
    <d v="2024-01-17T00:00:00"/>
    <s v="0500284264"/>
    <s v="DOC"/>
    <s v="DOC"/>
    <s v="DOCUMENTO POR.."/>
    <n v="2268"/>
    <n v="656.2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68"/>
    <n v="656.25"/>
    <s v="Gastos Administrativos"/>
    <x v="0"/>
    <x v="3"/>
    <s v="92. Gerencia de Administración y Finanzas"/>
  </r>
  <r>
    <s v="94.3.1.1.080"/>
    <x v="5"/>
    <d v="2024-01-17T00:00:00"/>
    <s v="0900061579"/>
    <s v="DOC"/>
    <s v="DOC"/>
    <s v="DOCUMENTO POR.."/>
    <n v="935"/>
    <n v="270.54000000000002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935"/>
    <n v="270.54000000000002"/>
    <s v="Gasto venta Fijo"/>
    <x v="4"/>
    <x v="6"/>
    <s v="95. Gerencia Comercial y Marketing"/>
  </r>
  <r>
    <s v="94.3.1.1.080"/>
    <x v="5"/>
    <d v="2024-01-17T00:00:00"/>
    <s v="0900061579"/>
    <s v="DOC"/>
    <s v="DOC"/>
    <s v="DOCUMENTO POR.."/>
    <n v="7205"/>
    <n v="2084.780000000000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205"/>
    <n v="2084.7800000000002"/>
    <s v="Gasto venta Fijo"/>
    <x v="4"/>
    <x v="6"/>
    <s v="95. Gerencia Comercial y Marketing"/>
  </r>
  <r>
    <s v="94.3.1.1.080"/>
    <x v="5"/>
    <d v="2024-01-17T00:00:00"/>
    <s v="0900061580"/>
    <s v="DOC"/>
    <s v="DOC"/>
    <s v="DOCUMENTO POR.."/>
    <n v="6605"/>
    <n v="1911.1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605"/>
    <n v="1911.17"/>
    <s v="Gasto venta Fijo"/>
    <x v="4"/>
    <x v="6"/>
    <s v="95. Gerencia Comercial y Marketing"/>
  </r>
  <r>
    <s v="94.3.1.1.080"/>
    <x v="5"/>
    <d v="2024-01-17T00:00:00"/>
    <s v="0900061580"/>
    <s v="DOC"/>
    <s v="DOC"/>
    <s v="DOCUMENTO POR.."/>
    <n v="3485"/>
    <n v="1008.3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85"/>
    <n v="1008.39"/>
    <s v="Gasto venta Fijo"/>
    <x v="4"/>
    <x v="6"/>
    <s v="95. Gerencia Comercial y Marketing"/>
  </r>
  <r>
    <s v="94.4.1.1.013"/>
    <x v="0"/>
    <d v="2024-01-18T00:00:00"/>
    <s v="0500284245"/>
    <s v="DOC"/>
    <s v="DOC"/>
    <s v="DOCUMENTO POR.."/>
    <n v="4329"/>
    <n v="1252.5999999999999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329"/>
    <n v="1252.5999999999999"/>
    <s v="Gastos Administrativos"/>
    <x v="0"/>
    <x v="0"/>
    <s v="92. Gerencia de Administración y Finanzas"/>
  </r>
  <r>
    <s v="94.4.1.1.013"/>
    <x v="0"/>
    <d v="2024-01-18T00:00:00"/>
    <s v="0500284265"/>
    <s v="DOC"/>
    <s v="DOC"/>
    <s v="DOCUMENTO POR.."/>
    <n v="6081"/>
    <n v="1759.55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081"/>
    <n v="1759.55"/>
    <s v="Gastos Administrativos"/>
    <x v="0"/>
    <x v="3"/>
    <s v="92. Gerencia de Administración y Finanzas"/>
  </r>
  <r>
    <s v="94.3.1.1.001"/>
    <x v="23"/>
    <d v="2024-01-18T00:00:00"/>
    <s v="0900061596"/>
    <s v="DOC"/>
    <s v="DOC"/>
    <s v="DOCUMENTO POR.."/>
    <n v="2414"/>
    <n v="698.5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14"/>
    <n v="698.5"/>
    <s v="Gasto venta Fijo"/>
    <x v="17"/>
    <x v="16"/>
    <s v="95. Gerencia Comercial y Marketing"/>
  </r>
  <r>
    <s v="94.3.1.1.001"/>
    <x v="23"/>
    <d v="2024-01-18T00:00:00"/>
    <s v="0900061597"/>
    <s v="DOC"/>
    <s v="DOC"/>
    <s v="DOCUMENTO POR.."/>
    <n v="338"/>
    <n v="97.8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38"/>
    <n v="97.8"/>
    <s v="Gastos Administrativos"/>
    <x v="17"/>
    <x v="13"/>
    <s v="92. Gerencia de Administración y Finanzas"/>
  </r>
  <r>
    <s v="94.3.1.1.111"/>
    <x v="24"/>
    <d v="2024-01-18T00:00:00"/>
    <s v="0900061614"/>
    <s v="DOC"/>
    <s v="DOC"/>
    <s v="DOCUMENTO POR.."/>
    <n v="6985"/>
    <n v="2021.12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985"/>
    <n v="2021.12"/>
    <s v="Gasto venta Fijo"/>
    <x v="4"/>
    <x v="16"/>
    <s v="95. Gerencia Comercial y Marketing"/>
  </r>
  <r>
    <s v="94.3.1.1.111"/>
    <x v="24"/>
    <d v="2024-01-18T00:00:00"/>
    <s v="0900061617"/>
    <s v="DOC"/>
    <s v="DOC"/>
    <s v="DOCUMENTO POR.."/>
    <n v="2240"/>
    <n v="648.15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240"/>
    <n v="648.15"/>
    <s v="Gasto venta Fijo"/>
    <x v="4"/>
    <x v="16"/>
    <s v="95. Gerencia Comercial y Marketing"/>
  </r>
  <r>
    <s v="94.5.1.1.046"/>
    <x v="17"/>
    <d v="2024-01-18T00:00:00"/>
    <s v="0900061899"/>
    <s v="DOC"/>
    <s v="DOC"/>
    <s v="DOCUMENTO POR.."/>
    <n v="6799"/>
    <n v="1967.3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799"/>
    <n v="1967.3"/>
    <s v="Gastos Administrativos"/>
    <x v="12"/>
    <x v="1"/>
    <s v="92. Gerencia de Administración y Finanzas"/>
  </r>
  <r>
    <s v="94.4.1.1.013"/>
    <x v="0"/>
    <d v="2024-01-19T00:00:00"/>
    <s v="0500283387"/>
    <s v="DOC"/>
    <s v="DOC"/>
    <s v="DOCUMENTO POR.."/>
    <n v="7113"/>
    <n v="2058.1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113"/>
    <n v="2058.16"/>
    <s v="Gastos Administrativos"/>
    <x v="0"/>
    <x v="3"/>
    <s v="92. Gerencia de Administración y Finanzas"/>
  </r>
  <r>
    <s v="94.4.1.1.013"/>
    <x v="0"/>
    <d v="2024-01-19T00:00:00"/>
    <s v="0500283388"/>
    <s v="DOC"/>
    <s v="DOC"/>
    <s v="DOCUMENTO POR.."/>
    <n v="4895"/>
    <n v="1416.3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895"/>
    <n v="1416.38"/>
    <s v="Gastos Administrativos"/>
    <x v="0"/>
    <x v="3"/>
    <s v="92. Gerencia de Administración y Finanzas"/>
  </r>
  <r>
    <s v="94.4.1.1.013"/>
    <x v="0"/>
    <d v="2024-01-19T00:00:00"/>
    <s v="0500283393"/>
    <s v="DOC"/>
    <s v="DOC"/>
    <s v="DOCUMENTO POR.."/>
    <n v="8214"/>
    <n v="2376.739999999999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214"/>
    <n v="2376.7399999999998"/>
    <s v="Gastos Administrativos"/>
    <x v="0"/>
    <x v="3"/>
    <s v="92. Gerencia de Administración y Finanzas"/>
  </r>
  <r>
    <s v="94.4.1.1.013"/>
    <x v="0"/>
    <d v="2024-01-19T00:00:00"/>
    <s v="0500283402"/>
    <s v="DOC"/>
    <s v="DOC"/>
    <s v="DOCUMENTO POR.."/>
    <n v="7007"/>
    <n v="2027.4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007"/>
    <n v="2027.49"/>
    <s v="Gastos Administrativos"/>
    <x v="0"/>
    <x v="3"/>
    <s v="92. Gerencia de Administración y Finanzas"/>
  </r>
  <r>
    <s v="94.4.1.1.013"/>
    <x v="0"/>
    <d v="2024-01-19T00:00:00"/>
    <s v="0500284231"/>
    <s v="DOC"/>
    <s v="DOC"/>
    <s v="DOCUMENTO POR.."/>
    <n v="5654"/>
    <n v="163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54"/>
    <n v="1636"/>
    <s v="Gastos Administrativos"/>
    <x v="0"/>
    <x v="0"/>
    <s v="92. Gerencia de Administración y Finanzas"/>
  </r>
  <r>
    <s v="94.5.1.1.027"/>
    <x v="25"/>
    <d v="2024-01-19T00:00:00"/>
    <s v="1200030488"/>
    <s v="DOC"/>
    <s v="DOC"/>
    <s v="DOCUMENTO POR.."/>
    <n v="4767"/>
    <n v="1379.34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767"/>
    <n v="1379.34"/>
    <s v="Gastos Administrativos"/>
    <x v="18"/>
    <x v="9"/>
    <s v="93. Gerencia de Operaciones"/>
  </r>
  <r>
    <s v="94.5.1.1.027"/>
    <x v="25"/>
    <d v="2024-01-19T00:00:00"/>
    <s v="1200030491"/>
    <s v="DOC"/>
    <s v="DOC"/>
    <s v="DOCUMENTO POR.."/>
    <n v="2784"/>
    <n v="805.56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84"/>
    <n v="805.56"/>
    <s v="Gastos Administrativos"/>
    <x v="18"/>
    <x v="9"/>
    <s v="93. Gerencia de Operaciones"/>
  </r>
  <r>
    <s v="94.4.1.1.013"/>
    <x v="0"/>
    <d v="2024-01-21T00:00:00"/>
    <s v="0500284232"/>
    <s v="DOC"/>
    <s v="DOC"/>
    <s v="DOCUMENTO POR.."/>
    <n v="1943"/>
    <n v="562.2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943"/>
    <n v="562.21"/>
    <s v="Gastos Administrativos"/>
    <x v="0"/>
    <x v="0"/>
    <s v="92. Gerencia de Administración y Finanzas"/>
  </r>
  <r>
    <s v="94.3.1.1.065"/>
    <x v="14"/>
    <d v="2024-01-21T00:00:00"/>
    <s v="0900061896"/>
    <s v="DOC"/>
    <s v="DOC"/>
    <s v="DOCUMENTO POR.."/>
    <n v="3675"/>
    <n v="1063.3699999999999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75"/>
    <n v="1063.3699999999999"/>
    <s v="Gastos Administrativos"/>
    <x v="11"/>
    <x v="2"/>
    <s v="92. Gerencia de Administración y Finanzas"/>
  </r>
  <r>
    <s v="94.5.1.1.027"/>
    <x v="25"/>
    <d v="2024-01-21T00:00:00"/>
    <s v="1200030502"/>
    <s v="DOC"/>
    <s v="DOC"/>
    <s v="DOCUMENTO POR.."/>
    <n v="8286"/>
    <n v="2397.5700000000002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286"/>
    <n v="2397.5700000000002"/>
    <s v="Gastos Administrativos"/>
    <x v="18"/>
    <x v="9"/>
    <s v="93. Gerencia de Operaciones"/>
  </r>
  <r>
    <s v="94.4.1.1.013"/>
    <x v="0"/>
    <d v="2024-01-22T00:00:00"/>
    <s v="0500283635"/>
    <s v="DOC"/>
    <s v="DOC"/>
    <s v="DOCUMENTO POR.."/>
    <n v="3616"/>
    <n v="1046.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616"/>
    <n v="1046.3"/>
    <s v="Gastos Administrativos"/>
    <x v="0"/>
    <x v="3"/>
    <s v="92. Gerencia de Administración y Finanzas"/>
  </r>
  <r>
    <s v="94.4.1.1.013"/>
    <x v="0"/>
    <d v="2024-01-22T00:00:00"/>
    <s v="0500283639"/>
    <s v="DOC"/>
    <s v="DOC"/>
    <s v="DOCUMENTO POR.."/>
    <n v="227"/>
    <n v="65.68000000000000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7"/>
    <n v="65.680000000000007"/>
    <s v="Gastos Administrativos"/>
    <x v="0"/>
    <x v="3"/>
    <s v="92. Gerencia de Administración y Finanzas"/>
  </r>
  <r>
    <s v="94.4.1.1.013"/>
    <x v="0"/>
    <d v="2024-01-22T00:00:00"/>
    <s v="0500283648"/>
    <s v="DOC"/>
    <s v="DOC"/>
    <s v="DOCUMENTO POR.."/>
    <n v="8512"/>
    <n v="2462.9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512"/>
    <n v="2462.96"/>
    <s v="Gastos Administrativos"/>
    <x v="0"/>
    <x v="3"/>
    <s v="92. Gerencia de Administración y Finanzas"/>
  </r>
  <r>
    <s v="94.4.1.1.013"/>
    <x v="0"/>
    <d v="2024-01-22T00:00:00"/>
    <s v="0500283662"/>
    <s v="DOC"/>
    <s v="DOC"/>
    <s v="DOCUMENTO POR.."/>
    <n v="1011"/>
    <n v="292.5299999999999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011"/>
    <n v="292.52999999999997"/>
    <s v="Gastos Administrativos"/>
    <x v="0"/>
    <x v="3"/>
    <s v="92. Gerencia de Administración y Finanzas"/>
  </r>
  <r>
    <s v="94.4.1.1.013"/>
    <x v="0"/>
    <d v="2024-01-22T00:00:00"/>
    <s v="0500283678"/>
    <s v="DOC"/>
    <s v="DOC"/>
    <s v="DOCUMENTO POR.."/>
    <n v="4293"/>
    <n v="1242.1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293"/>
    <n v="1242.19"/>
    <s v="Gastos Administrativos"/>
    <x v="0"/>
    <x v="3"/>
    <s v="92. Gerencia de Administración y Finanzas"/>
  </r>
  <r>
    <s v="94.4.1.1.015"/>
    <x v="4"/>
    <d v="2024-01-22T00:00:00"/>
    <s v="0500283681"/>
    <s v="DOC"/>
    <s v="DOC"/>
    <s v="DOCUMENTO POR.."/>
    <n v="923"/>
    <n v="267.07"/>
    <m/>
    <m/>
    <s v="05.40.61.92.02"/>
    <s v="2"/>
    <s v="04"/>
    <s v="GLOSA"/>
    <s v="Control Bancario"/>
    <s v="DOC"/>
    <s v="ND"/>
    <s v="NO DEFINIDO"/>
    <s v="CB"/>
    <s v="$. LEASEBACK 1,16816246"/>
    <s v="35.06.06.00"/>
    <s v="ND"/>
    <s v="ND"/>
    <s v="ND"/>
    <s v="ND"/>
    <s v="ND"/>
    <s v=""/>
    <s v="ND"/>
    <s v=""/>
    <s v=""/>
    <n v="923"/>
    <n v="267.07"/>
    <s v="Gastos Administrativos"/>
    <x v="0"/>
    <x v="15"/>
    <s v="92. Gerencia de Administración y Finanzas"/>
  </r>
  <r>
    <s v="94.4.1.1.013"/>
    <x v="0"/>
    <d v="2024-01-22T00:00:00"/>
    <s v="0500284184"/>
    <s v="DOC"/>
    <s v="DOC"/>
    <s v="DOCUMENTO POR.."/>
    <n v="8330"/>
    <n v="2410.30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330"/>
    <n v="2410.3000000000002"/>
    <s v="Gastos Administrativos"/>
    <x v="0"/>
    <x v="0"/>
    <s v="92. Gerencia de Administración y Finanzas"/>
  </r>
  <r>
    <s v="94.4.1.1.013"/>
    <x v="0"/>
    <d v="2024-01-22T00:00:00"/>
    <s v="0500284266"/>
    <s v="DOC"/>
    <s v="DOC"/>
    <s v="DOCUMENTO POR.."/>
    <n v="6695"/>
    <n v="1937.2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95"/>
    <n v="1937.21"/>
    <s v="Gastos Administrativos"/>
    <x v="0"/>
    <x v="3"/>
    <s v="92. Gerencia de Administración y Finanzas"/>
  </r>
  <r>
    <s v="94.3.1.1.006"/>
    <x v="1"/>
    <d v="2024-01-22T00:00:00"/>
    <s v="0900061627"/>
    <s v="DOC"/>
    <s v="DOC"/>
    <s v="DOCUMENTO POR.."/>
    <n v="2374"/>
    <n v="686.92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374"/>
    <n v="686.92"/>
    <s v="Gastos Administrativos"/>
    <x v="1"/>
    <x v="1"/>
    <s v="92. Gerencia de Administración y Finanzas"/>
  </r>
  <r>
    <s v="94.3.1.1.080"/>
    <x v="5"/>
    <d v="2024-01-22T00:00:00"/>
    <s v="0900061633"/>
    <s v="DOC"/>
    <s v="DOC"/>
    <s v="DOCUMENTO POR.."/>
    <n v="3831"/>
    <n v="1108.5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831"/>
    <n v="1108.51"/>
    <s v="Gasto venta Fijo"/>
    <x v="4"/>
    <x v="6"/>
    <s v="95. Gerencia Comercial y Marketing"/>
  </r>
  <r>
    <s v="94.3.1.1.080"/>
    <x v="5"/>
    <d v="2024-01-22T00:00:00"/>
    <s v="0900061633"/>
    <s v="DOC"/>
    <s v="DOC"/>
    <s v="DOCUMENTO POR.."/>
    <n v="5176"/>
    <n v="1497.6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176"/>
    <n v="1497.69"/>
    <s v="Gasto venta Fijo"/>
    <x v="4"/>
    <x v="6"/>
    <s v="95. Gerencia Comercial y Marketing"/>
  </r>
  <r>
    <s v="94.4.1.1.013"/>
    <x v="0"/>
    <d v="2024-01-23T00:00:00"/>
    <s v="0500283673"/>
    <s v="DOC"/>
    <s v="DOC"/>
    <s v="DOCUMENTO POR.."/>
    <n v="1713"/>
    <n v="495.6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713"/>
    <n v="495.66"/>
    <s v="Gastos Administrativos"/>
    <x v="0"/>
    <x v="3"/>
    <s v="92. Gerencia de Administración y Finanzas"/>
  </r>
  <r>
    <s v="94.4.1.1.013"/>
    <x v="0"/>
    <d v="2024-01-23T00:00:00"/>
    <s v="0500284209"/>
    <s v="DOC"/>
    <s v="DOC"/>
    <s v="DOCUMENTO POR.."/>
    <n v="774"/>
    <n v="223.9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774"/>
    <n v="223.96"/>
    <s v="Gastos Administrativos"/>
    <x v="0"/>
    <x v="0"/>
    <s v="92. Gerencia de Administración y Finanzas"/>
  </r>
  <r>
    <s v="94.4.1.1.013"/>
    <x v="0"/>
    <d v="2024-01-23T00:00:00"/>
    <s v="0500284233"/>
    <s v="DOC"/>
    <s v="DOC"/>
    <s v="DOCUMENTO POR.."/>
    <n v="6747"/>
    <n v="1952.2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747"/>
    <n v="1952.26"/>
    <s v="Gastos Administrativos"/>
    <x v="0"/>
    <x v="0"/>
    <s v="92. Gerencia de Administración y Finanzas"/>
  </r>
  <r>
    <s v="94.4.1.1.013"/>
    <x v="0"/>
    <d v="2024-01-23T00:00:00"/>
    <s v="0500284267"/>
    <s v="DOC"/>
    <s v="DOC"/>
    <s v="DOCUMENTO POR.."/>
    <n v="2572"/>
    <n v="744.2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72"/>
    <n v="744.21"/>
    <s v="Gastos Administrativos"/>
    <x v="0"/>
    <x v="3"/>
    <s v="92. Gerencia de Administración y Finanzas"/>
  </r>
  <r>
    <s v="94.3.1.1.010"/>
    <x v="9"/>
    <d v="2024-01-23T00:00:00"/>
    <s v="0900061643"/>
    <s v="DOC"/>
    <s v="DOC"/>
    <s v="DOCUMENTO POR.."/>
    <n v="6054"/>
    <n v="1751.74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54"/>
    <n v="1751.74"/>
    <s v="Gastos Administrativos"/>
    <x v="1"/>
    <x v="1"/>
    <s v="92. Gerencia de Administración y Finanzas"/>
  </r>
  <r>
    <s v="94.1.1.1.020"/>
    <x v="26"/>
    <d v="2024-01-23T00:00:00"/>
    <s v="0900061651"/>
    <s v="DOC"/>
    <s v="DOC"/>
    <s v="DOCUMENTO POR.."/>
    <n v="4978"/>
    <n v="1440.39"/>
    <m/>
    <m/>
    <s v="05.40.61.92.03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978"/>
    <n v="1440.39"/>
    <s v="Gastos Administrativos"/>
    <x v="19"/>
    <x v="4"/>
    <s v="92. Gerencia de Administración y Finanzas"/>
  </r>
  <r>
    <s v="94.1.1.1.020"/>
    <x v="26"/>
    <d v="2024-01-23T00:00:00"/>
    <s v="0900061652"/>
    <s v="DOC"/>
    <s v="DOC"/>
    <s v="DOCUMENTO POR.."/>
    <n v="942"/>
    <n v="272.57"/>
    <m/>
    <m/>
    <s v="05.40.61.92.03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942"/>
    <n v="272.57"/>
    <s v="Gastos Administrativos"/>
    <x v="19"/>
    <x v="4"/>
    <s v="92. Gerencia de Administración y Finanzas"/>
  </r>
  <r>
    <s v="94.3.1.1.013"/>
    <x v="27"/>
    <d v="2024-01-23T00:00:00"/>
    <s v="0900061654"/>
    <s v="DOC"/>
    <s v="DOC"/>
    <s v="DOCUMENTO POR.."/>
    <n v="8134"/>
    <n v="2353.59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134"/>
    <n v="2353.59"/>
    <s v="Gastos Administrativos"/>
    <x v="20"/>
    <x v="13"/>
    <s v="92. Gerencia de Administración y Finanzas"/>
  </r>
  <r>
    <s v="94.3.1.1.080"/>
    <x v="5"/>
    <d v="2024-01-23T00:00:00"/>
    <s v="0900061657"/>
    <s v="DOC"/>
    <s v="DOC"/>
    <s v="DOCUMENTO POR.."/>
    <n v="8992"/>
    <n v="2601.85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992"/>
    <n v="2601.85"/>
    <s v="Gasto venta Fijo"/>
    <x v="4"/>
    <x v="6"/>
    <s v="95. Gerencia Comercial y Marketing"/>
  </r>
  <r>
    <s v="94.3.1.1.080"/>
    <x v="5"/>
    <d v="2024-01-23T00:00:00"/>
    <s v="0900061657"/>
    <s v="DOC"/>
    <s v="DOC"/>
    <s v="DOCUMENTO POR.."/>
    <n v="2644"/>
    <n v="765.0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644"/>
    <n v="765.05"/>
    <s v="Gasto venta Fijo"/>
    <x v="4"/>
    <x v="6"/>
    <s v="95. Gerencia Comercial y Marketing"/>
  </r>
  <r>
    <s v="94.3.1.1.080"/>
    <x v="5"/>
    <d v="2024-01-23T00:00:00"/>
    <s v="0900061658"/>
    <s v="DOC"/>
    <s v="DOC"/>
    <s v="DOCUMENTO POR.."/>
    <n v="7025"/>
    <n v="2032.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025"/>
    <n v="2032.7"/>
    <s v="Gasto venta Fijo"/>
    <x v="4"/>
    <x v="6"/>
    <s v="95. Gerencia Comercial y Marketing"/>
  </r>
  <r>
    <s v="94.3.1.1.080"/>
    <x v="5"/>
    <d v="2024-01-23T00:00:00"/>
    <s v="0900061658"/>
    <s v="DOC"/>
    <s v="DOC"/>
    <s v="DOCUMENTO POR.."/>
    <n v="1320"/>
    <n v="381.94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20"/>
    <n v="381.94"/>
    <s v="Gasto venta Fijo"/>
    <x v="4"/>
    <x v="6"/>
    <s v="95. Gerencia Comercial y Marketing"/>
  </r>
  <r>
    <s v="94.5.1.1.008"/>
    <x v="28"/>
    <d v="2024-01-23T00:00:00"/>
    <s v="0900061659"/>
    <s v="DOC"/>
    <s v="DOC"/>
    <s v="DOCUMENTO POR.."/>
    <n v="1387"/>
    <n v="401.33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387"/>
    <n v="401.33"/>
    <s v="Gastos Administrativos"/>
    <x v="16"/>
    <x v="10"/>
    <s v="96. Gerencia General"/>
  </r>
  <r>
    <s v="94.3.1.1.081"/>
    <x v="12"/>
    <d v="2024-01-23T00:00:00"/>
    <s v="0900061660"/>
    <s v="DOC"/>
    <s v="DOC"/>
    <s v="DOCUMENTO POR.."/>
    <n v="5573"/>
    <n v="1612.56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573"/>
    <n v="1612.56"/>
    <s v="Gasto venta Fijo"/>
    <x v="9"/>
    <x v="16"/>
    <s v="95. Gerencia Comercial y Marketing"/>
  </r>
  <r>
    <s v="94.5.1.1.113"/>
    <x v="29"/>
    <d v="2024-01-23T00:00:00"/>
    <s v="0900061661"/>
    <s v="DOC"/>
    <s v="DOC"/>
    <s v="DOCUMENTO POR.."/>
    <n v="3334"/>
    <n v="964.7"/>
    <m/>
    <m/>
    <s v="05.40.61.93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334"/>
    <n v="964.7"/>
    <s v="Gastos Administrativos"/>
    <x v="21"/>
    <x v="17"/>
    <s v="93. Gerencia de Operaciones"/>
  </r>
  <r>
    <s v="94.3.1.1.080"/>
    <x v="5"/>
    <d v="2024-01-23T00:00:00"/>
    <s v="0900061664"/>
    <s v="DOC"/>
    <s v="DOC"/>
    <s v="DOCUMENTO POR.."/>
    <n v="6065"/>
    <n v="1754.9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65"/>
    <n v="1754.92"/>
    <s v="Gasto venta Fijo"/>
    <x v="4"/>
    <x v="6"/>
    <s v="95. Gerencia Comercial y Marketing"/>
  </r>
  <r>
    <s v="94.3.1.1.080"/>
    <x v="5"/>
    <d v="2024-01-23T00:00:00"/>
    <s v="0900061664"/>
    <s v="DOC"/>
    <s v="DOC"/>
    <s v="DOCUMENTO POR.."/>
    <n v="4898"/>
    <n v="1417.25"/>
    <m/>
    <m/>
    <s v="05.40.61.95.04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98"/>
    <n v="1417.25"/>
    <s v="Gasto venta Fijo"/>
    <x v="4"/>
    <x v="6"/>
    <s v="95. Gerencia Comercial y Marketing"/>
  </r>
  <r>
    <s v="94.3.1.1.080"/>
    <x v="5"/>
    <d v="2024-01-23T00:00:00"/>
    <s v="0900061670"/>
    <s v="DOC"/>
    <s v="DOC"/>
    <s v="DOCUMENTO POR.."/>
    <n v="7502"/>
    <n v="2170.7199999999998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502"/>
    <n v="2170.7199999999998"/>
    <s v="Gasto venta Fijo"/>
    <x v="4"/>
    <x v="6"/>
    <s v="95. Gerencia Comercial y Marketing"/>
  </r>
  <r>
    <s v="94.3.1.1.080"/>
    <x v="5"/>
    <d v="2024-01-23T00:00:00"/>
    <s v="0900061670"/>
    <s v="DOC"/>
    <s v="DOC"/>
    <s v="DOCUMENTO POR.."/>
    <n v="1980"/>
    <n v="572.91999999999996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980"/>
    <n v="572.91999999999996"/>
    <s v="Gasto venta Fijo"/>
    <x v="4"/>
    <x v="6"/>
    <s v="95. Gerencia Comercial y Marketing"/>
  </r>
  <r>
    <s v="94.3.1.1.080"/>
    <x v="5"/>
    <d v="2024-01-23T00:00:00"/>
    <s v="0900061679"/>
    <s v="DOC"/>
    <s v="DOC"/>
    <s v="DOCUMENTO POR.."/>
    <n v="1945"/>
    <n v="562.7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945"/>
    <n v="562.79"/>
    <s v="Gasto venta Fijo"/>
    <x v="4"/>
    <x v="6"/>
    <s v="95. Gerencia Comercial y Marketing"/>
  </r>
  <r>
    <s v="94.3.1.1.080"/>
    <x v="5"/>
    <d v="2024-01-23T00:00:00"/>
    <s v="0900061679"/>
    <s v="DOC"/>
    <s v="DOC"/>
    <s v="DOCUMENTO POR.."/>
    <n v="3899"/>
    <n v="1128.1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899"/>
    <n v="1128.18"/>
    <s v="Gasto venta Fijo"/>
    <x v="4"/>
    <x v="6"/>
    <s v="95. Gerencia Comercial y Marketing"/>
  </r>
  <r>
    <s v="94.3.1.1.080"/>
    <x v="5"/>
    <d v="2024-01-23T00:00:00"/>
    <s v="0900061681"/>
    <s v="DOC"/>
    <s v="DOC"/>
    <s v="DOCUMENTO POR.."/>
    <n v="165"/>
    <n v="47.74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65"/>
    <n v="47.74"/>
    <s v="Gasto venta Fijo"/>
    <x v="4"/>
    <x v="6"/>
    <s v="95. Gerencia Comercial y Marketing"/>
  </r>
  <r>
    <s v="94.3.1.1.080"/>
    <x v="5"/>
    <d v="2024-01-23T00:00:00"/>
    <s v="0900061681"/>
    <s v="DOC"/>
    <s v="DOC"/>
    <s v="DOCUMENTO POR.."/>
    <n v="834"/>
    <n v="241.32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34"/>
    <n v="241.32"/>
    <s v="Gasto venta Fijo"/>
    <x v="4"/>
    <x v="6"/>
    <s v="95. Gerencia Comercial y Marketing"/>
  </r>
  <r>
    <s v="94.3.1.1.080"/>
    <x v="5"/>
    <d v="2024-01-23T00:00:00"/>
    <s v="0900061682"/>
    <s v="DOC"/>
    <s v="DOC"/>
    <s v="DOCUMENTO POR.."/>
    <n v="6425"/>
    <n v="1859.0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425"/>
    <n v="1859.09"/>
    <s v="Gasto venta Fijo"/>
    <x v="4"/>
    <x v="6"/>
    <s v="95. Gerencia Comercial y Marketing"/>
  </r>
  <r>
    <s v="94.3.1.1.080"/>
    <x v="5"/>
    <d v="2024-01-23T00:00:00"/>
    <s v="0900061682"/>
    <s v="DOC"/>
    <s v="DOC"/>
    <s v="DOCUMENTO POR.."/>
    <n v="1235"/>
    <n v="357.35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235"/>
    <n v="357.35"/>
    <s v="Gasto venta Fijo"/>
    <x v="4"/>
    <x v="6"/>
    <s v="95. Gerencia Comercial y Marketing"/>
  </r>
  <r>
    <s v="94.3.1.1.065"/>
    <x v="14"/>
    <d v="2024-01-23T00:00:00"/>
    <s v="1200030509"/>
    <s v="DOC"/>
    <s v="DOC"/>
    <s v="DOCUMENTO POR.."/>
    <n v="7313"/>
    <n v="2116.0300000000002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313"/>
    <n v="2116.0300000000002"/>
    <s v="Gastos Administrativos"/>
    <x v="11"/>
    <x v="7"/>
    <s v="92. Gerencia de Administración y Finanzas"/>
  </r>
  <r>
    <s v="94.4.1.1.013"/>
    <x v="0"/>
    <d v="2024-01-24T00:00:00"/>
    <s v="0500284210"/>
    <s v="DOC"/>
    <s v="DOC"/>
    <s v="DOCUMENTO POR.."/>
    <n v="4952"/>
    <n v="1432.8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952"/>
    <n v="1432.87"/>
    <s v="Gastos Administrativos"/>
    <x v="0"/>
    <x v="0"/>
    <s v="92. Gerencia de Administración y Finanzas"/>
  </r>
  <r>
    <s v="94.4.1.1.013"/>
    <x v="0"/>
    <d v="2024-01-24T00:00:00"/>
    <s v="0500284247"/>
    <s v="DOC"/>
    <s v="DOC"/>
    <s v="DOCUMENTO POR.."/>
    <n v="6352"/>
    <n v="1837.9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352"/>
    <n v="1837.96"/>
    <s v="Gastos Administrativos"/>
    <x v="0"/>
    <x v="0"/>
    <s v="92. Gerencia de Administración y Finanzas"/>
  </r>
  <r>
    <s v="94.4.1.1.013"/>
    <x v="0"/>
    <d v="2024-01-24T00:00:00"/>
    <s v="0500284268"/>
    <s v="DOC"/>
    <s v="DOC"/>
    <s v="DOCUMENTO POR.."/>
    <n v="3767"/>
    <n v="1089.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767"/>
    <n v="1089.99"/>
    <s v="Gastos Administrativos"/>
    <x v="0"/>
    <x v="3"/>
    <s v="92. Gerencia de Administración y Finanzas"/>
  </r>
  <r>
    <s v="94.3.1.1.010"/>
    <x v="9"/>
    <d v="2024-01-24T00:00:00"/>
    <s v="0900061685"/>
    <s v="DOC"/>
    <s v="DOC"/>
    <s v="DOCUMENTO POR.."/>
    <n v="8528"/>
    <n v="2467.59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528"/>
    <n v="2467.59"/>
    <s v="Gastos Administrativos"/>
    <x v="1"/>
    <x v="1"/>
    <s v="92. Gerencia de Administración y Finanzas"/>
  </r>
  <r>
    <s v="94.3.1.1.010"/>
    <x v="9"/>
    <d v="2024-01-24T00:00:00"/>
    <s v="0900061688"/>
    <s v="DOC"/>
    <s v="DOC"/>
    <s v="DOCUMENTO POR.."/>
    <n v="4639"/>
    <n v="1342.3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639"/>
    <n v="1342.3"/>
    <s v="Gastos Administrativos"/>
    <x v="1"/>
    <x v="1"/>
    <s v="92. Gerencia de Administración y Finanzas"/>
  </r>
  <r>
    <s v="94.5.1.1.056"/>
    <x v="30"/>
    <d v="2024-01-24T00:00:00"/>
    <s v="0900061689"/>
    <s v="DOC"/>
    <s v="DOC"/>
    <s v="DOCUMENTO POR.."/>
    <n v="3700"/>
    <n v="1070.5999999999999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700"/>
    <n v="1070.5999999999999"/>
    <s v="Gastos Administrativos"/>
    <x v="22"/>
    <x v="1"/>
    <s v="92. Gerencia de Administración y Finanzas"/>
  </r>
  <r>
    <s v="94.3.1.1.059"/>
    <x v="31"/>
    <d v="2024-01-24T00:00:00"/>
    <s v="0900061691"/>
    <s v="DOC"/>
    <s v="DOC"/>
    <s v="DOCUMENTO POR.."/>
    <n v="2935"/>
    <n v="849.25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935"/>
    <n v="849.25"/>
    <s v="Gastos Administrativos"/>
    <x v="5"/>
    <x v="1"/>
    <s v="92. Gerencia de Administración y Finanzas"/>
  </r>
  <r>
    <s v="94.3.1.1.080"/>
    <x v="5"/>
    <d v="2024-01-24T00:00:00"/>
    <s v="0900061695"/>
    <s v="DOC"/>
    <s v="DOC"/>
    <s v="DOCUMENTO POR.."/>
    <n v="5371"/>
    <n v="1554.11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71"/>
    <n v="1554.11"/>
    <s v="Gasto venta Fijo"/>
    <x v="4"/>
    <x v="6"/>
    <s v="95. Gerencia Comercial y Marketing"/>
  </r>
  <r>
    <s v="94.3.1.1.080"/>
    <x v="5"/>
    <d v="2024-01-24T00:00:00"/>
    <s v="0900061695"/>
    <s v="DOC"/>
    <s v="DOC"/>
    <s v="DOCUMENTO POR.."/>
    <n v="1107"/>
    <n v="320.31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107"/>
    <n v="320.31"/>
    <s v="Gasto venta Fijo"/>
    <x v="4"/>
    <x v="6"/>
    <s v="95. Gerencia Comercial y Marketing"/>
  </r>
  <r>
    <s v="94.3.1.1.108"/>
    <x v="32"/>
    <d v="2024-01-24T00:00:00"/>
    <s v="0900061699"/>
    <s v="DOC"/>
    <s v="DOC"/>
    <s v="DOCUMENTO POR.."/>
    <n v="7775"/>
    <n v="2249.71"/>
    <m/>
    <m/>
    <s v="05.40.61.92.05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775"/>
    <n v="2249.71"/>
    <s v="Gastos Administrativos"/>
    <x v="23"/>
    <x v="1"/>
    <s v="92. Gerencia de Administración y Finanzas"/>
  </r>
  <r>
    <s v="94.3.1.1.057"/>
    <x v="6"/>
    <d v="2024-01-24T00:00:00"/>
    <s v="0900061708"/>
    <s v="DOC"/>
    <s v="DOC"/>
    <s v="DOCUMENTO POR.."/>
    <n v="2422"/>
    <n v="700.81"/>
    <m/>
    <m/>
    <s v="05.40.61.92.09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422"/>
    <n v="700.81"/>
    <s v="Gastos Administrativos"/>
    <x v="5"/>
    <x v="7"/>
    <s v="92. Gerencia de Administración y Finanzas"/>
  </r>
  <r>
    <s v="94.3.1.1.059"/>
    <x v="31"/>
    <d v="2024-01-24T00:00:00"/>
    <s v="1400022205"/>
    <s v="DOC"/>
    <s v="DOC"/>
    <s v="DOCUMENTO POR.."/>
    <n v="2588"/>
    <n v="748.84"/>
    <m/>
    <m/>
    <s v="05.40.61.92.05"/>
    <s v="1"/>
    <s v="06"/>
    <s v="GLOSA"/>
    <s v="Contabilidad General"/>
    <s v="DOC"/>
    <s v="ND"/>
    <s v="NO DEFINIDO"/>
    <s v="CG"/>
    <s v="EXTORNO PROVISION"/>
    <s v=""/>
    <s v="ND"/>
    <s v="ND"/>
    <s v="ND"/>
    <s v="ND"/>
    <s v="ND"/>
    <s v=""/>
    <s v="ND"/>
    <s v=""/>
    <s v=""/>
    <n v="2588"/>
    <n v="748.84"/>
    <s v="Gastos Administrativos"/>
    <x v="5"/>
    <x v="1"/>
    <s v="92. Gerencia de Administración y Finanzas"/>
  </r>
  <r>
    <s v="94.3.1.1.059"/>
    <x v="31"/>
    <d v="2024-01-24T00:00:00"/>
    <s v="1400022206"/>
    <s v="DOC"/>
    <s v="DOC"/>
    <s v="DOCUMENTO POR.."/>
    <n v="7941"/>
    <n v="2297.7399999999998"/>
    <m/>
    <m/>
    <s v="05.40.61.92.05"/>
    <s v="1"/>
    <s v="06"/>
    <s v="GLOSA"/>
    <s v="Contabilidad General"/>
    <s v="DOC"/>
    <s v="ND"/>
    <s v="NO DEFINIDO"/>
    <s v="CG"/>
    <s v="EXTORNO PROVISIONES"/>
    <s v=""/>
    <s v="ND"/>
    <s v="ND"/>
    <s v="ND"/>
    <s v="ND"/>
    <s v="ND"/>
    <s v=""/>
    <s v="ND"/>
    <s v=""/>
    <s v=""/>
    <n v="7941"/>
    <n v="2297.7399999999998"/>
    <s v="Gastos Administrativos"/>
    <x v="5"/>
    <x v="1"/>
    <s v="92. Gerencia de Administración y Finanzas"/>
  </r>
  <r>
    <s v="94.3.1.1.108"/>
    <x v="32"/>
    <d v="2024-01-24T00:00:00"/>
    <s v="1400022209"/>
    <s v="DOC"/>
    <s v="DOC"/>
    <s v="DOCUMENTO POR.."/>
    <n v="851"/>
    <n v="246.24"/>
    <m/>
    <m/>
    <s v="05.40.61.92.05"/>
    <s v="1"/>
    <s v="06"/>
    <s v="GLOSA"/>
    <s v="Contabilidad General"/>
    <s v="DOC"/>
    <s v="ND"/>
    <s v="NO DEFINIDO"/>
    <s v="CG"/>
    <s v="EXTORNO PROVISION"/>
    <s v=""/>
    <s v="ND"/>
    <s v="ND"/>
    <s v="ND"/>
    <s v="ND"/>
    <s v="ND"/>
    <s v=""/>
    <s v="ND"/>
    <s v=""/>
    <s v=""/>
    <n v="851"/>
    <n v="246.24"/>
    <s v="Gastos Administrativos"/>
    <x v="23"/>
    <x v="1"/>
    <s v="92. Gerencia de Administración y Finanzas"/>
  </r>
  <r>
    <s v="94.4.1.1.013"/>
    <x v="0"/>
    <d v="2024-01-25T00:00:00"/>
    <s v="0500283636"/>
    <s v="DOC"/>
    <s v="DOC"/>
    <s v="DOCUMENTO POR.."/>
    <n v="1859"/>
    <n v="537.9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859"/>
    <n v="537.91"/>
    <s v="Gastos Administrativos"/>
    <x v="0"/>
    <x v="3"/>
    <s v="92. Gerencia de Administración y Finanzas"/>
  </r>
  <r>
    <s v="94.4.1.1.013"/>
    <x v="0"/>
    <d v="2024-01-25T00:00:00"/>
    <s v="0500283640"/>
    <s v="DOC"/>
    <s v="DOC"/>
    <s v="DOCUMENTO POR.."/>
    <n v="3872"/>
    <n v="1120.36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3872"/>
    <n v="1120.3699999999999"/>
    <s v="Gastos Administrativos"/>
    <x v="0"/>
    <x v="3"/>
    <s v="92. Gerencia de Administración y Finanzas"/>
  </r>
  <r>
    <s v="94.4.1.1.013"/>
    <x v="0"/>
    <d v="2024-01-25T00:00:00"/>
    <s v="0500283661"/>
    <s v="DOC"/>
    <s v="DOC"/>
    <s v="DOCUMENTO POR.."/>
    <n v="2294"/>
    <n v="663.7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294"/>
    <n v="663.77"/>
    <s v="Gastos Administrativos"/>
    <x v="0"/>
    <x v="3"/>
    <s v="92. Gerencia de Administración y Finanzas"/>
  </r>
  <r>
    <s v="94.4.1.1.013"/>
    <x v="0"/>
    <d v="2024-01-25T00:00:00"/>
    <s v="0500283674"/>
    <s v="DOC"/>
    <s v="DOC"/>
    <s v="DOCUMENTO POR.."/>
    <n v="4011"/>
    <n v="1160.5899999999999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011"/>
    <n v="1160.5899999999999"/>
    <s v="Gastos Administrativos"/>
    <x v="0"/>
    <x v="3"/>
    <s v="92. Gerencia de Administración y Finanzas"/>
  </r>
  <r>
    <s v="94.4.1.1.013"/>
    <x v="0"/>
    <d v="2024-01-25T00:00:00"/>
    <s v="0500284185"/>
    <s v="DOC"/>
    <s v="DOC"/>
    <s v="DOCUMENTO POR.."/>
    <n v="23"/>
    <n v="6.6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"/>
    <n v="6.66"/>
    <s v="Gastos Administrativos"/>
    <x v="0"/>
    <x v="0"/>
    <s v="92. Gerencia de Administración y Finanzas"/>
  </r>
  <r>
    <s v="94.4.1.1.013"/>
    <x v="0"/>
    <d v="2024-01-25T00:00:00"/>
    <s v="0500284193"/>
    <s v="DOC"/>
    <s v="DOC"/>
    <s v="DOCUMENTO POR.."/>
    <n v="5684"/>
    <n v="1644.6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684"/>
    <n v="1644.68"/>
    <s v="Gastos Administrativos"/>
    <x v="0"/>
    <x v="0"/>
    <s v="92. Gerencia de Administración y Finanzas"/>
  </r>
  <r>
    <s v="94.4.1.1.013"/>
    <x v="0"/>
    <d v="2024-01-25T00:00:00"/>
    <s v="0500284211"/>
    <s v="DOC"/>
    <s v="DOC"/>
    <s v="DOCUMENTO POR.."/>
    <n v="2547"/>
    <n v="736.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547"/>
    <n v="736.98"/>
    <s v="Gastos Administrativos"/>
    <x v="0"/>
    <x v="0"/>
    <s v="92. Gerencia de Administración y Finanzas"/>
  </r>
  <r>
    <s v="94.4.1.1.013"/>
    <x v="0"/>
    <d v="2024-01-25T00:00:00"/>
    <s v="0500284234"/>
    <s v="DOC"/>
    <s v="DOC"/>
    <s v="DOCUMENTO POR.."/>
    <n v="2892"/>
    <n v="836.81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892"/>
    <n v="836.81"/>
    <s v="Gastos Administrativos"/>
    <x v="0"/>
    <x v="0"/>
    <s v="92. Gerencia de Administración y Finanzas"/>
  </r>
  <r>
    <s v="94.4.1.1.013"/>
    <x v="0"/>
    <d v="2024-01-25T00:00:00"/>
    <s v="0500284269"/>
    <s v="DOC"/>
    <s v="DOC"/>
    <s v="DOCUMENTO POR.."/>
    <n v="6627"/>
    <n v="1917.5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627"/>
    <n v="1917.53"/>
    <s v="Gastos Administrativos"/>
    <x v="0"/>
    <x v="3"/>
    <s v="92. Gerencia de Administración y Finanzas"/>
  </r>
  <r>
    <s v="94.3.1.1.111"/>
    <x v="24"/>
    <d v="2024-01-25T00:00:00"/>
    <s v="0900061720"/>
    <s v="DOC"/>
    <s v="DOC"/>
    <s v="DOCUMENTO POR.."/>
    <n v="8029"/>
    <n v="2323.21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029"/>
    <n v="2323.21"/>
    <s v="Gasto venta Fijo"/>
    <x v="4"/>
    <x v="16"/>
    <s v="95. Gerencia Comercial y Marketing"/>
  </r>
  <r>
    <s v="94.3.1.1.111"/>
    <x v="24"/>
    <d v="2024-01-25T00:00:00"/>
    <s v="0900061721"/>
    <s v="DOC"/>
    <s v="DOC"/>
    <s v="DOCUMENTO POR.."/>
    <n v="7721"/>
    <n v="2234.09"/>
    <m/>
    <m/>
    <s v="05.40.61.95.02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721"/>
    <n v="2234.09"/>
    <s v="Gasto venta Fijo"/>
    <x v="4"/>
    <x v="16"/>
    <s v="95. Gerencia Comercial y Marketing"/>
  </r>
  <r>
    <s v="94.5.1.1.009"/>
    <x v="22"/>
    <d v="2024-01-25T00:00:00"/>
    <s v="0900061726"/>
    <s v="DOC"/>
    <s v="DOC"/>
    <s v="DOCUMENTO POR.."/>
    <n v="4006"/>
    <n v="1159.1400000000001"/>
    <m/>
    <m/>
    <s v="05.40.61.96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006"/>
    <n v="1159.1400000000001"/>
    <s v="Gastos Administrativos"/>
    <x v="16"/>
    <x v="10"/>
    <s v="96. Gerencia General"/>
  </r>
  <r>
    <s v="94.3.1.1.080"/>
    <x v="5"/>
    <d v="2024-01-25T00:00:00"/>
    <s v="1200030503"/>
    <s v="DOC"/>
    <s v="DOC"/>
    <s v="DOCUMENTO POR.."/>
    <n v="1095"/>
    <n v="316.8399999999999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095"/>
    <n v="316.83999999999997"/>
    <s v="Gasto venta Fijo"/>
    <x v="4"/>
    <x v="6"/>
    <s v="95. Gerencia Comercial y Marketing"/>
  </r>
  <r>
    <s v="94.5.1.1.027"/>
    <x v="25"/>
    <d v="2024-01-25T00:00:00"/>
    <s v="1200030504"/>
    <s v="DOC"/>
    <s v="DOC"/>
    <s v="DOCUMENTO POR.."/>
    <n v="3330"/>
    <n v="963.54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330"/>
    <n v="963.54"/>
    <s v="Gastos Administrativos"/>
    <x v="18"/>
    <x v="9"/>
    <s v="93. Gerencia de Operaciones"/>
  </r>
  <r>
    <s v="94.5.1.1.027"/>
    <x v="25"/>
    <d v="2024-01-25T00:00:00"/>
    <s v="1200030505"/>
    <s v="DOC"/>
    <s v="DOC"/>
    <s v="DOCUMENTO POR.."/>
    <n v="2313"/>
    <n v="669.27"/>
    <m/>
    <m/>
    <s v="05.40.61.10.9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313"/>
    <n v="669.27"/>
    <s v="Gastos Administrativos"/>
    <x v="18"/>
    <x v="9"/>
    <s v="93. Gerencia de Operaciones"/>
  </r>
  <r>
    <s v="94.5.1.1.027"/>
    <x v="25"/>
    <d v="2024-01-25T00:00:00"/>
    <s v="1200030506"/>
    <s v="DOC"/>
    <s v="DOC"/>
    <s v="DOCUMENTO POR.."/>
    <n v="2703"/>
    <n v="782.12"/>
    <m/>
    <m/>
    <s v="05.40.61.10.99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03"/>
    <n v="782.12"/>
    <s v="Gastos Administrativos"/>
    <x v="18"/>
    <x v="9"/>
    <s v="93. Gerencia de Operaciones"/>
  </r>
  <r>
    <s v="94.3.1.1.080"/>
    <x v="5"/>
    <d v="2024-01-25T00:00:00"/>
    <s v="1200030507"/>
    <s v="DOC"/>
    <s v="DOC"/>
    <s v="DOCUMENTO POR.."/>
    <n v="7372"/>
    <n v="2133.1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7372"/>
    <n v="2133.1"/>
    <s v="Gasto venta Fijo"/>
    <x v="4"/>
    <x v="6"/>
    <s v="95. Gerencia Comercial y Marketing"/>
  </r>
  <r>
    <s v="94.3.1.1.080"/>
    <x v="5"/>
    <d v="2024-01-25T00:00:00"/>
    <s v="1200030545"/>
    <s v="DOC"/>
    <s v="DOC"/>
    <s v="DOCUMENTO POR.."/>
    <n v="5061"/>
    <n v="1464.41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061"/>
    <n v="1464.41"/>
    <s v="Gasto venta Fijo"/>
    <x v="4"/>
    <x v="6"/>
    <s v="95. Gerencia Comercial y Marketing"/>
  </r>
  <r>
    <s v="94.1.1.1.018"/>
    <x v="2"/>
    <d v="2024-01-25T00:00:00"/>
    <s v="1300017524"/>
    <s v="DOC"/>
    <s v="DOC"/>
    <s v="DOCUMENTO POR.."/>
    <n v="4194"/>
    <n v="1213.54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194"/>
    <n v="1213.54"/>
    <s v="Gasto venta Fijo"/>
    <x v="2"/>
    <x v="6"/>
    <s v="95. Gerencia Comercial y Marketing"/>
  </r>
  <r>
    <s v="94.3.1.1.080"/>
    <x v="5"/>
    <d v="2024-01-25T00:00:00"/>
    <s v="1300017525"/>
    <s v="DOC"/>
    <s v="DOC"/>
    <s v="DOCUMENTO POR.."/>
    <n v="3785"/>
    <n v="1095.2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785"/>
    <n v="1095.2"/>
    <s v="Gasto venta Fijo"/>
    <x v="4"/>
    <x v="6"/>
    <s v="95. Gerencia Comercial y Marketing"/>
  </r>
  <r>
    <s v="94.3.1.1.080"/>
    <x v="5"/>
    <d v="2024-01-25T00:00:00"/>
    <s v="1300017526"/>
    <s v="DOC"/>
    <s v="DOC"/>
    <s v="DOCUMENTO POR.."/>
    <n v="1755"/>
    <n v="507.81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755"/>
    <n v="507.81"/>
    <s v="Gasto venta Fijo"/>
    <x v="4"/>
    <x v="6"/>
    <s v="95. Gerencia Comercial y Marketing"/>
  </r>
  <r>
    <s v="94.4.1.1.013"/>
    <x v="0"/>
    <d v="2024-01-26T00:00:00"/>
    <s v="0500283637"/>
    <s v="DOC"/>
    <s v="DOC"/>
    <s v="DOCUMENTO POR.."/>
    <n v="6418"/>
    <n v="1857.06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418"/>
    <n v="1857.06"/>
    <s v="Gastos Administrativos"/>
    <x v="0"/>
    <x v="3"/>
    <s v="92. Gerencia de Administración y Finanzas"/>
  </r>
  <r>
    <s v="94.4.1.1.013"/>
    <x v="0"/>
    <d v="2024-01-26T00:00:00"/>
    <s v="0500283641"/>
    <s v="DOC"/>
    <s v="DOC"/>
    <s v="DOCUMENTO POR.."/>
    <n v="4419"/>
    <n v="1278.6500000000001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419"/>
    <n v="1278.6500000000001"/>
    <s v="Gastos Administrativos"/>
    <x v="0"/>
    <x v="3"/>
    <s v="92. Gerencia de Administración y Finanzas"/>
  </r>
  <r>
    <s v="94.4.1.1.013"/>
    <x v="0"/>
    <d v="2024-01-26T00:00:00"/>
    <s v="0500283649"/>
    <s v="DOC"/>
    <s v="DOC"/>
    <s v="DOCUMENTO POR.."/>
    <n v="5421"/>
    <n v="1568.5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21"/>
    <n v="1568.58"/>
    <s v="Gastos Administrativos"/>
    <x v="0"/>
    <x v="3"/>
    <s v="92. Gerencia de Administración y Finanzas"/>
  </r>
  <r>
    <s v="94.4.1.1.013"/>
    <x v="0"/>
    <d v="2024-01-26T00:00:00"/>
    <s v="0500283664"/>
    <s v="DOC"/>
    <s v="DOC"/>
    <s v="DOCUMENTO POR.."/>
    <n v="4613"/>
    <n v="1334.7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613"/>
    <n v="1334.78"/>
    <s v="Gastos Administrativos"/>
    <x v="0"/>
    <x v="3"/>
    <s v="92. Gerencia de Administración y Finanzas"/>
  </r>
  <r>
    <s v="94.4.1.1.013"/>
    <x v="0"/>
    <d v="2024-01-26T00:00:00"/>
    <s v="0500283675"/>
    <s v="DOC"/>
    <s v="DOC"/>
    <s v="DOCUMENTO POR.."/>
    <n v="4774"/>
    <n v="1381.37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774"/>
    <n v="1381.37"/>
    <s v="Gastos Administrativos"/>
    <x v="0"/>
    <x v="3"/>
    <s v="92. Gerencia de Administración y Finanzas"/>
  </r>
  <r>
    <s v="94.4.1.1.013"/>
    <x v="0"/>
    <d v="2024-01-26T00:00:00"/>
    <s v="0500284186"/>
    <s v="DOC"/>
    <s v="DOC"/>
    <s v="DOCUMENTO POR.."/>
    <n v="1142"/>
    <n v="330.4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142"/>
    <n v="330.44"/>
    <s v="Gastos Administrativos"/>
    <x v="0"/>
    <x v="0"/>
    <s v="92. Gerencia de Administración y Finanzas"/>
  </r>
  <r>
    <s v="94.4.1.1.013"/>
    <x v="0"/>
    <d v="2024-01-26T00:00:00"/>
    <s v="0500284187"/>
    <s v="DOC"/>
    <s v="DOC"/>
    <s v="DOCUMENTO POR.."/>
    <n v="8624"/>
    <n v="2495.37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624"/>
    <n v="2495.37"/>
    <s v="Gastos Administrativos"/>
    <x v="0"/>
    <x v="0"/>
    <s v="92. Gerencia de Administración y Finanzas"/>
  </r>
  <r>
    <s v="94.4.1.1.013"/>
    <x v="0"/>
    <d v="2024-01-26T00:00:00"/>
    <s v="0500284194"/>
    <s v="DOC"/>
    <s v="DOC"/>
    <s v="DOCUMENTO POR.."/>
    <n v="8564"/>
    <n v="2478.0100000000002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564"/>
    <n v="2478.0100000000002"/>
    <s v="Gastos Administrativos"/>
    <x v="0"/>
    <x v="0"/>
    <s v="92. Gerencia de Administración y Finanzas"/>
  </r>
  <r>
    <s v="94.4.1.1.013"/>
    <x v="0"/>
    <d v="2024-01-26T00:00:00"/>
    <s v="0500284195"/>
    <s v="DOC"/>
    <s v="DOC"/>
    <s v="DOCUMENTO POR.."/>
    <n v="5161"/>
    <n v="1493.3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161"/>
    <n v="1493.34"/>
    <s v="Gastos Administrativos"/>
    <x v="0"/>
    <x v="0"/>
    <s v="92. Gerencia de Administración y Finanzas"/>
  </r>
  <r>
    <s v="94.4.1.1.013"/>
    <x v="0"/>
    <d v="2024-01-26T00:00:00"/>
    <s v="0500284212"/>
    <s v="DOC"/>
    <s v="DOC"/>
    <s v="DOCUMENTO POR.."/>
    <n v="8481"/>
    <n v="2453.989999999999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481"/>
    <n v="2453.9899999999998"/>
    <s v="Gastos Administrativos"/>
    <x v="0"/>
    <x v="0"/>
    <s v="92. Gerencia de Administración y Finanzas"/>
  </r>
  <r>
    <s v="94.4.1.1.013"/>
    <x v="0"/>
    <d v="2024-01-26T00:00:00"/>
    <s v="0500284280"/>
    <s v="DOC"/>
    <s v="DOC"/>
    <s v="DOCUMENTO POR.."/>
    <n v="5462"/>
    <n v="1580.4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462"/>
    <n v="1580.44"/>
    <s v="Gastos Administrativos"/>
    <x v="0"/>
    <x v="0"/>
    <s v="92. Gerencia de Administración y Finanzas"/>
  </r>
  <r>
    <s v="94.3.1.1.059"/>
    <x v="31"/>
    <d v="2024-01-26T00:00:00"/>
    <s v="0900061730"/>
    <s v="DOC"/>
    <s v="DOC"/>
    <s v="DOCUMENTO POR.."/>
    <n v="1860"/>
    <n v="538.19000000000005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860"/>
    <n v="538.19000000000005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7973"/>
    <n v="2307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973"/>
    <n v="2307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4364"/>
    <n v="1262.73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364"/>
    <n v="1262.73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7423"/>
    <n v="2147.86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423"/>
    <n v="2147.86"/>
    <s v="Gastos Administrativos"/>
    <x v="5"/>
    <x v="2"/>
    <s v="92. Gerencia de Administración y Finanzas"/>
  </r>
  <r>
    <s v="94.3.1.1.059"/>
    <x v="31"/>
    <d v="2024-01-26T00:00:00"/>
    <s v="0900061730"/>
    <s v="DOC"/>
    <s v="DOC"/>
    <s v="DOCUMENTO POR.."/>
    <n v="8063"/>
    <n v="2333.04"/>
    <m/>
    <m/>
    <s v="05.40.61.92.08"/>
    <s v="7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063"/>
    <n v="2333.04"/>
    <s v="Gastos Administrativos"/>
    <x v="5"/>
    <x v="2"/>
    <s v="92. Gerencia de Administración y Finanzas"/>
  </r>
  <r>
    <s v="94.3.1.1.080"/>
    <x v="5"/>
    <d v="2024-01-26T00:00:00"/>
    <s v="0900061739"/>
    <s v="DOC"/>
    <s v="DOC"/>
    <s v="DOCUMENTO POR.."/>
    <n v="5758"/>
    <n v="1666.09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758"/>
    <n v="1666.09"/>
    <s v="Gasto venta Fijo"/>
    <x v="4"/>
    <x v="6"/>
    <s v="95. Gerencia Comercial y Marketing"/>
  </r>
  <r>
    <s v="94.3.1.1.080"/>
    <x v="5"/>
    <d v="2024-01-26T00:00:00"/>
    <s v="0900061739"/>
    <s v="DOC"/>
    <s v="DOC"/>
    <s v="DOCUMENTO POR.."/>
    <n v="4056"/>
    <n v="1173.6099999999999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056"/>
    <n v="1173.6099999999999"/>
    <s v="Gasto venta Fijo"/>
    <x v="4"/>
    <x v="6"/>
    <s v="95. Gerencia Comercial y Marketing"/>
  </r>
  <r>
    <s v="94.3.1.1.080"/>
    <x v="5"/>
    <d v="2024-01-26T00:00:00"/>
    <s v="0900061745"/>
    <s v="DOC"/>
    <s v="DOC"/>
    <s v="DOCUMENTO POR.."/>
    <n v="6757"/>
    <n v="1955.15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757"/>
    <n v="1955.15"/>
    <s v="Gasto venta Fijo"/>
    <x v="4"/>
    <x v="6"/>
    <s v="95. Gerencia Comercial y Marketing"/>
  </r>
  <r>
    <s v="94.3.1.1.018"/>
    <x v="33"/>
    <d v="2024-01-26T00:00:00"/>
    <s v="1200030510"/>
    <s v="DOC"/>
    <s v="DOC"/>
    <s v="DOCUMENTO POR.."/>
    <n v="3437"/>
    <n v="994.5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437"/>
    <n v="994.5"/>
    <s v="Gastos Administrativos"/>
    <x v="8"/>
    <x v="10"/>
    <s v="96. Gerencia General"/>
  </r>
  <r>
    <s v="94.3.1.1.064"/>
    <x v="34"/>
    <d v="2024-01-26T00:00:00"/>
    <s v="1200030511"/>
    <s v="DOC"/>
    <s v="DOC"/>
    <s v="DOCUMENTO POR.."/>
    <n v="1128"/>
    <n v="326.39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128"/>
    <n v="326.39"/>
    <s v="Gasto venta Fijo"/>
    <x v="24"/>
    <x v="6"/>
    <s v="95. Gerencia Comercial y Marketing"/>
  </r>
  <r>
    <s v="94.3.1.1.080"/>
    <x v="5"/>
    <d v="2024-01-26T00:00:00"/>
    <s v="1200030512"/>
    <s v="DOC"/>
    <s v="DOC"/>
    <s v="DOCUMENTO POR.."/>
    <n v="6050"/>
    <n v="1750.58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050"/>
    <n v="1750.58"/>
    <s v="Gasto venta Fijo"/>
    <x v="4"/>
    <x v="6"/>
    <s v="95. Gerencia Comercial y Marketing"/>
  </r>
  <r>
    <s v="94.3.1.1.003"/>
    <x v="35"/>
    <d v="2024-01-26T00:00:00"/>
    <s v="1200030513"/>
    <s v="DOC"/>
    <s v="DOC"/>
    <s v="DOCUMENTO POR.."/>
    <n v="5301"/>
    <n v="1533.85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301"/>
    <n v="1533.85"/>
    <s v="Gastos Administrativos"/>
    <x v="25"/>
    <x v="10"/>
    <s v="96. Gerencia General"/>
  </r>
  <r>
    <s v="94.1.1.1.018"/>
    <x v="2"/>
    <d v="2024-01-26T00:00:00"/>
    <s v="1200030514"/>
    <s v="DOC"/>
    <s v="DOC"/>
    <s v="DOCUMENTO POR.."/>
    <n v="4256"/>
    <n v="1231.48"/>
    <m/>
    <m/>
    <s v="05.40.61.95.02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56"/>
    <n v="1231.48"/>
    <s v="Gasto venta Fijo"/>
    <x v="2"/>
    <x v="16"/>
    <s v="95. Gerencia Comercial y Marketing"/>
  </r>
  <r>
    <s v="94.3.1.1.064"/>
    <x v="34"/>
    <d v="2024-01-26T00:00:00"/>
    <s v="1200030515"/>
    <s v="DOC"/>
    <s v="DOC"/>
    <s v="DOCUMENTO POR.."/>
    <n v="2585"/>
    <n v="747.9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585"/>
    <n v="747.97"/>
    <s v="Gasto venta Fijo"/>
    <x v="24"/>
    <x v="6"/>
    <s v="95. Gerencia Comercial y Marketing"/>
  </r>
  <r>
    <s v="94.3.1.1.013"/>
    <x v="27"/>
    <d v="2024-01-26T00:00:00"/>
    <s v="1200030516"/>
    <s v="DOC"/>
    <s v="DOC"/>
    <s v="DOCUMENTO POR.."/>
    <n v="5538"/>
    <n v="1602.43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538"/>
    <n v="1602.43"/>
    <s v="Gastos Administrativos"/>
    <x v="20"/>
    <x v="13"/>
    <s v="92. Gerencia de Administración y Finanzas"/>
  </r>
  <r>
    <s v="94.3.1.1.064"/>
    <x v="34"/>
    <d v="2024-01-26T00:00:00"/>
    <s v="1200030518"/>
    <s v="DOC"/>
    <s v="DOC"/>
    <s v="DOCUMENTO POR.."/>
    <n v="2773"/>
    <n v="802.37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773"/>
    <n v="802.37"/>
    <s v="Gastos Administrativos"/>
    <x v="24"/>
    <x v="13"/>
    <s v="92. Gerencia de Administración y Finanzas"/>
  </r>
  <r>
    <s v="94.3.1.1.013"/>
    <x v="27"/>
    <d v="2024-01-26T00:00:00"/>
    <s v="1200030519"/>
    <s v="DOC"/>
    <s v="DOC"/>
    <s v="DOCUMENTO POR.."/>
    <n v="2882"/>
    <n v="833.91"/>
    <m/>
    <m/>
    <s v="05.40.61.92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882"/>
    <n v="833.91"/>
    <s v="Gastos Administrativos"/>
    <x v="20"/>
    <x v="13"/>
    <s v="92. Gerencia de Administración y Finanzas"/>
  </r>
  <r>
    <s v="94.5.1.1.027"/>
    <x v="25"/>
    <d v="2024-01-26T00:00:00"/>
    <s v="1200030520"/>
    <s v="DOC"/>
    <s v="DOC"/>
    <s v="DOCUMENTO POR.."/>
    <n v="3656"/>
    <n v="1057.8699999999999"/>
    <m/>
    <m/>
    <s v="05.40.61.93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656"/>
    <n v="1057.8699999999999"/>
    <s v="Gastos Administrativos"/>
    <x v="18"/>
    <x v="18"/>
    <s v="93. Gerencia de Operaciones"/>
  </r>
  <r>
    <s v="94.5.1.1.027"/>
    <x v="25"/>
    <d v="2024-01-26T00:00:00"/>
    <s v="1200030521"/>
    <s v="DOC"/>
    <s v="DOC"/>
    <s v="DOCUMENTO POR.."/>
    <n v="5200"/>
    <n v="1504.63"/>
    <m/>
    <m/>
    <s v="05.40.61.93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200"/>
    <n v="1504.63"/>
    <s v="Gastos Administrativos"/>
    <x v="18"/>
    <x v="18"/>
    <s v="93. Gerencia de Operaciones"/>
  </r>
  <r>
    <s v="94.3.1.1.005"/>
    <x v="18"/>
    <d v="2024-01-26T00:00:00"/>
    <s v="1200030522"/>
    <s v="DOC"/>
    <s v="DOC"/>
    <s v="DOCUMENTO POR.."/>
    <n v="3945"/>
    <n v="1141.49"/>
    <m/>
    <m/>
    <s v="05.40.61.92.09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945"/>
    <n v="1141.49"/>
    <s v="Gastos Administrativos"/>
    <x v="13"/>
    <x v="7"/>
    <s v="92. Gerencia de Administración y Finanzas"/>
  </r>
  <r>
    <s v="94.3.1.1.081"/>
    <x v="12"/>
    <d v="2024-01-26T00:00:00"/>
    <s v="1200030524"/>
    <s v="DOC"/>
    <s v="DOC"/>
    <s v="DOCUMENTO POR.."/>
    <n v="6680"/>
    <n v="1932.87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6680"/>
    <n v="1932.87"/>
    <s v="Gastos Administrativos"/>
    <x v="9"/>
    <x v="10"/>
    <s v="96. Gerencia General"/>
  </r>
  <r>
    <s v="94.3.1.1.018"/>
    <x v="33"/>
    <d v="2024-01-26T00:00:00"/>
    <s v="1200030525"/>
    <s v="DOC"/>
    <s v="DOC"/>
    <s v="DOCUMENTO POR.."/>
    <n v="1913"/>
    <n v="553.53"/>
    <m/>
    <m/>
    <s v="05.40.61.96.01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913"/>
    <n v="553.53"/>
    <s v="Gastos Administrativos"/>
    <x v="8"/>
    <x v="10"/>
    <s v="96. Gerencia General"/>
  </r>
  <r>
    <s v="94.3.1.1.080"/>
    <x v="5"/>
    <d v="2024-01-26T00:00:00"/>
    <s v="1200030526"/>
    <s v="DOC"/>
    <s v="DOC"/>
    <s v="DOCUMENTO POR.."/>
    <n v="2277"/>
    <n v="658.8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277"/>
    <n v="658.85"/>
    <s v="Gasto venta Fijo"/>
    <x v="4"/>
    <x v="6"/>
    <s v="95. Gerencia Comercial y Marketing"/>
  </r>
  <r>
    <s v="94.3.1.1.080"/>
    <x v="5"/>
    <d v="2024-01-26T00:00:00"/>
    <s v="1200030527"/>
    <s v="DOC"/>
    <s v="DOC"/>
    <s v="DOCUMENTO POR.."/>
    <n v="1374"/>
    <n v="397.57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374"/>
    <n v="397.57"/>
    <s v="Gasto venta Fijo"/>
    <x v="4"/>
    <x v="6"/>
    <s v="95. Gerencia Comercial y Marketing"/>
  </r>
  <r>
    <s v="94.3.1.1.081"/>
    <x v="12"/>
    <d v="2024-01-26T00:00:00"/>
    <s v="1200030528"/>
    <s v="DOC"/>
    <s v="DOC"/>
    <s v="DOCUMENTO POR.."/>
    <n v="3559"/>
    <n v="1029.8"/>
    <m/>
    <m/>
    <s v="05.40.61.92.08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3559"/>
    <n v="1029.8"/>
    <s v="Gastos Administrativos"/>
    <x v="9"/>
    <x v="2"/>
    <s v="92. Gerencia de Administración y Finanzas"/>
  </r>
  <r>
    <s v="94.5.1.1.029"/>
    <x v="10"/>
    <d v="2024-01-26T00:00:00"/>
    <s v="1200030529"/>
    <s v="DOC"/>
    <s v="DOC"/>
    <s v="DOCUMENTO POR.."/>
    <n v="1599"/>
    <n v="462.67"/>
    <m/>
    <m/>
    <s v="05.40.61.92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1599"/>
    <n v="462.67"/>
    <s v="Gastos Administrativos"/>
    <x v="7"/>
    <x v="13"/>
    <s v="92. Gerencia de Administración y Finanzas"/>
  </r>
  <r>
    <s v="94.5.1.1.029"/>
    <x v="10"/>
    <d v="2024-01-26T00:00:00"/>
    <s v="1200030531"/>
    <s v="DOC"/>
    <s v="DOC"/>
    <s v="DOCUMENTO POR.."/>
    <n v="8774"/>
    <n v="2538.77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774"/>
    <n v="2538.77"/>
    <s v="Gasto venta Fijo"/>
    <x v="7"/>
    <x v="6"/>
    <s v="95. Gerencia Comercial y Marketing"/>
  </r>
  <r>
    <s v="94.5.1.1.029"/>
    <x v="10"/>
    <d v="2024-01-26T00:00:00"/>
    <s v="1200030532"/>
    <s v="DOC"/>
    <s v="DOC"/>
    <s v="DOCUMENTO POR.."/>
    <n v="8682"/>
    <n v="2512.15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682"/>
    <n v="2512.15"/>
    <s v="Gasto venta Fijo"/>
    <x v="7"/>
    <x v="6"/>
    <s v="95. Gerencia Comercial y Marketing"/>
  </r>
  <r>
    <s v="94.5.1.1.029"/>
    <x v="10"/>
    <d v="2024-01-26T00:00:00"/>
    <s v="1200030533"/>
    <s v="DOC"/>
    <s v="DOC"/>
    <s v="DOCUMENTO POR.."/>
    <n v="4277"/>
    <n v="1237.56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277"/>
    <n v="1237.56"/>
    <s v="Gasto venta Fijo"/>
    <x v="7"/>
    <x v="6"/>
    <s v="95. Gerencia Comercial y Marketing"/>
  </r>
  <r>
    <s v="94.5.1.1.029"/>
    <x v="10"/>
    <d v="2024-01-26T00:00:00"/>
    <s v="1200030534"/>
    <s v="DOC"/>
    <s v="DOC"/>
    <s v="DOCUMENTO POR.."/>
    <n v="975"/>
    <n v="282.12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975"/>
    <n v="282.12"/>
    <s v="Gasto venta Fijo"/>
    <x v="7"/>
    <x v="6"/>
    <s v="95. Gerencia Comercial y Marketing"/>
  </r>
  <r>
    <s v="94.5.1.1.029"/>
    <x v="10"/>
    <d v="2024-01-26T00:00:00"/>
    <s v="1200030535"/>
    <s v="DOC"/>
    <s v="DOC"/>
    <s v="DOCUMENTO POR.."/>
    <n v="491"/>
    <n v="142.07"/>
    <m/>
    <m/>
    <s v="05.40.61.96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91"/>
    <n v="142.07"/>
    <s v="Gastos Administrativos"/>
    <x v="7"/>
    <x v="10"/>
    <s v="96. Gerencia General"/>
  </r>
  <r>
    <s v="94.4.1.1.013"/>
    <x v="0"/>
    <d v="2024-01-29T00:00:00"/>
    <s v="0500284196"/>
    <s v="DOC"/>
    <s v="DOC"/>
    <s v="DOCUMENTO POR.."/>
    <n v="6805"/>
    <n v="1969.0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805"/>
    <n v="1969.04"/>
    <s v="Gastos Administrativos"/>
    <x v="0"/>
    <x v="0"/>
    <s v="92. Gerencia de Administración y Finanzas"/>
  </r>
  <r>
    <s v="94.4.1.1.013"/>
    <x v="0"/>
    <d v="2024-01-29T00:00:00"/>
    <s v="0500284197"/>
    <s v="DOC"/>
    <s v="DOC"/>
    <s v="DOCUMENTO POR.."/>
    <n v="8980"/>
    <n v="2598.38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8980"/>
    <n v="2598.38"/>
    <s v="Gastos Administrativos"/>
    <x v="0"/>
    <x v="0"/>
    <s v="92. Gerencia de Administración y Finanzas"/>
  </r>
  <r>
    <s v="94.4.1.1.013"/>
    <x v="0"/>
    <d v="2024-01-29T00:00:00"/>
    <s v="0500284270"/>
    <s v="DOC"/>
    <s v="DOC"/>
    <s v="DOCUMENTO POR.."/>
    <n v="5599"/>
    <n v="1620.0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599"/>
    <n v="1620.08"/>
    <s v="Gastos Administrativos"/>
    <x v="0"/>
    <x v="3"/>
    <s v="92. Gerencia de Administración y Finanzas"/>
  </r>
  <r>
    <s v="94.4.1.1.013"/>
    <x v="0"/>
    <d v="2024-01-29T00:00:00"/>
    <s v="0500284281"/>
    <s v="DOC"/>
    <s v="DOC"/>
    <s v="DOCUMENTO POR.."/>
    <n v="232"/>
    <n v="67.1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232"/>
    <n v="67.13"/>
    <s v="Gastos Administrativos"/>
    <x v="0"/>
    <x v="0"/>
    <s v="92. Gerencia de Administración y Finanzas"/>
  </r>
  <r>
    <s v="94.3.1.1.036"/>
    <x v="36"/>
    <d v="2024-01-29T00:00:00"/>
    <s v="0900061782"/>
    <s v="DOC"/>
    <s v="DOC"/>
    <s v="DOCUMENTO POR.."/>
    <n v="5674"/>
    <n v="1641.78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674"/>
    <n v="1641.78"/>
    <s v="Gastos Administrativos"/>
    <x v="26"/>
    <x v="0"/>
    <s v="92. Gerencia de Administración y Finanzas"/>
  </r>
  <r>
    <s v="94.4.1.1.013"/>
    <x v="0"/>
    <d v="2024-01-30T00:00:00"/>
    <s v="0500284213"/>
    <s v="DOC"/>
    <s v="DOC"/>
    <s v="DOCUMENTO POR.."/>
    <n v="5706"/>
    <n v="1651.04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5706"/>
    <n v="1651.04"/>
    <s v="Gastos Administrativos"/>
    <x v="0"/>
    <x v="0"/>
    <s v="92. Gerencia de Administración y Finanzas"/>
  </r>
  <r>
    <s v="94.4.1.1.013"/>
    <x v="0"/>
    <d v="2024-01-30T00:00:00"/>
    <s v="0500284235"/>
    <s v="DOC"/>
    <s v="DOC"/>
    <s v="DOCUMENTO POR.."/>
    <n v="1497"/>
    <n v="433.16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497"/>
    <n v="433.16"/>
    <s v="Gastos Administrativos"/>
    <x v="0"/>
    <x v="0"/>
    <s v="92. Gerencia de Administración y Finanzas"/>
  </r>
  <r>
    <s v="94.4.1.1.013"/>
    <x v="0"/>
    <d v="2024-01-30T00:00:00"/>
    <s v="0500284271"/>
    <s v="DOC"/>
    <s v="DOC"/>
    <s v="DOCUMENTO POR.."/>
    <n v="1260"/>
    <n v="364.58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1260"/>
    <n v="364.58"/>
    <s v="Gastos Administrativos"/>
    <x v="0"/>
    <x v="3"/>
    <s v="92. Gerencia de Administración y Finanzas"/>
  </r>
  <r>
    <s v="94.4.1.1.013"/>
    <x v="0"/>
    <d v="2024-01-30T00:00:00"/>
    <s v="0500284282"/>
    <s v="DOC"/>
    <s v="DOC"/>
    <s v="DOCUMENTO POR.."/>
    <n v="6928"/>
    <n v="2004.63"/>
    <m/>
    <m/>
    <s v="05.40.61.92.01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6928"/>
    <n v="2004.63"/>
    <s v="Gastos Administrativos"/>
    <x v="0"/>
    <x v="0"/>
    <s v="92. Gerencia de Administración y Finanzas"/>
  </r>
  <r>
    <s v="94.3.1.1.007"/>
    <x v="37"/>
    <d v="2024-01-30T00:00:00"/>
    <s v="0700037894"/>
    <s v="DOC"/>
    <s v="DOC"/>
    <s v="DOCUMENTO POR.."/>
    <n v="6094"/>
    <n v="1763.31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094"/>
    <n v="1763.31"/>
    <s v="Gastos Administrativos"/>
    <x v="1"/>
    <x v="1"/>
    <s v="92. Gerencia de Administración y Finanzas"/>
  </r>
  <r>
    <s v="94.3.1.1.065"/>
    <x v="14"/>
    <d v="2024-01-30T00:00:00"/>
    <s v="0900061791"/>
    <s v="DOC"/>
    <s v="DOC"/>
    <s v="DOCUMENTO POR.."/>
    <n v="4935"/>
    <n v="1427.95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935"/>
    <n v="1427.95"/>
    <s v="Gastos Administrativos"/>
    <x v="11"/>
    <x v="0"/>
    <s v="92. Gerencia de Administración y Finanzas"/>
  </r>
  <r>
    <s v="94.3.1.1.059"/>
    <x v="31"/>
    <d v="2024-01-30T00:00:00"/>
    <s v="0900061802"/>
    <s v="DOC"/>
    <s v="DOC"/>
    <s v="DOCUMENTO POR.."/>
    <n v="2147"/>
    <n v="621.24"/>
    <m/>
    <m/>
    <s v="05.40.61.92.05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2147"/>
    <n v="621.24"/>
    <s v="Gastos Administrativos"/>
    <x v="5"/>
    <x v="1"/>
    <s v="92. Gerencia de Administración y Finanzas"/>
  </r>
  <r>
    <s v="94.3.1.1.080"/>
    <x v="5"/>
    <d v="2024-01-30T00:00:00"/>
    <s v="1300017532"/>
    <s v="DOC"/>
    <s v="DOC"/>
    <s v="DOCUMENTO POR.."/>
    <n v="5193"/>
    <n v="1502.6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5193"/>
    <n v="1502.6"/>
    <s v="Gasto venta Fijo"/>
    <x v="4"/>
    <x v="6"/>
    <s v="95. Gerencia Comercial y Marketing"/>
  </r>
  <r>
    <s v="94.3.1.1.080"/>
    <x v="5"/>
    <d v="2024-01-30T00:00:00"/>
    <s v="1300017533"/>
    <s v="DOC"/>
    <s v="DOC"/>
    <s v="DOCUMENTO POR.."/>
    <n v="2104"/>
    <n v="608.79999999999995"/>
    <m/>
    <m/>
    <s v="05.40.61.95.04"/>
    <s v="2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2104"/>
    <n v="608.79999999999995"/>
    <s v="Gasto venta Fijo"/>
    <x v="4"/>
    <x v="6"/>
    <s v="95. Gerencia Comercial y Marketing"/>
  </r>
  <r>
    <s v="94.3.1.1.080"/>
    <x v="5"/>
    <d v="2024-01-30T00:00:00"/>
    <s v="1300017534"/>
    <s v="DOC"/>
    <s v="DOC"/>
    <s v="DOCUMENTO POR.."/>
    <n v="8871"/>
    <n v="2566.84"/>
    <m/>
    <m/>
    <s v="05.40.61.95.04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8871"/>
    <n v="2566.84"/>
    <s v="Gasto venta Fijo"/>
    <x v="4"/>
    <x v="6"/>
    <s v="95. Gerencia Comercial y Marketing"/>
  </r>
  <r>
    <s v="94.4.1.1.013"/>
    <x v="0"/>
    <d v="2024-01-31T00:00:00"/>
    <s v="0500283833"/>
    <s v="DOC"/>
    <s v="DOC"/>
    <s v="DOCUMENTO POR.."/>
    <n v="410"/>
    <n v="118.63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10"/>
    <n v="118.63"/>
    <s v="Gastos Administrativos"/>
    <x v="0"/>
    <x v="3"/>
    <s v="92. Gerencia de Administración y Finanzas"/>
  </r>
  <r>
    <s v="94.4.1.1.013"/>
    <x v="0"/>
    <d v="2024-01-31T00:00:00"/>
    <s v="0500284274"/>
    <s v="DOC"/>
    <s v="DOC"/>
    <s v="DOCUMENTO POR.."/>
    <n v="4861"/>
    <n v="1406.54"/>
    <m/>
    <m/>
    <s v="05.40.61.92.06"/>
    <s v="2"/>
    <s v="04"/>
    <s v="GLOSA"/>
    <s v="Control Bancario"/>
    <s v="DOC"/>
    <s v="ND"/>
    <s v="NO DEFINIDO"/>
    <s v="CB"/>
    <s v=""/>
    <s v=""/>
    <s v="ND"/>
    <s v="ND"/>
    <s v="ND"/>
    <s v="ND"/>
    <s v="ND"/>
    <s v=""/>
    <s v="ND"/>
    <s v=""/>
    <s v=""/>
    <n v="4861"/>
    <n v="1406.54"/>
    <s v="Gastos Administrativos"/>
    <x v="0"/>
    <x v="3"/>
    <s v="92. Gerencia de Administración y Finanzas"/>
  </r>
  <r>
    <s v="94.3.1.1.080"/>
    <x v="5"/>
    <d v="2024-01-31T00:00:00"/>
    <s v="0900061811"/>
    <s v="DOC"/>
    <s v="DOC"/>
    <s v="DOCUMENTO POR.."/>
    <n v="3632"/>
    <n v="1050.93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632"/>
    <n v="1050.93"/>
    <s v="Gasto venta Fijo"/>
    <x v="4"/>
    <x v="6"/>
    <s v="95. Gerencia Comercial y Marketing"/>
  </r>
  <r>
    <s v="94.3.1.1.080"/>
    <x v="5"/>
    <d v="2024-01-31T00:00:00"/>
    <s v="0900061812"/>
    <s v="DOC"/>
    <s v="DOC"/>
    <s v="DOCUMENTO POR.."/>
    <n v="5797"/>
    <n v="1677.37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797"/>
    <n v="1677.37"/>
    <s v="Gasto venta Fijo"/>
    <x v="4"/>
    <x v="6"/>
    <s v="95. Gerencia Comercial y Marketing"/>
  </r>
  <r>
    <s v="94.3.1.1.080"/>
    <x v="5"/>
    <d v="2024-01-31T00:00:00"/>
    <s v="0900061812"/>
    <s v="DOC"/>
    <s v="DOC"/>
    <s v="DOCUMENTO POR.."/>
    <n v="1711"/>
    <n v="495.08"/>
    <m/>
    <m/>
    <s v="05.40.61.95.04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1711"/>
    <n v="495.08"/>
    <s v="Gasto venta Fijo"/>
    <x v="4"/>
    <x v="6"/>
    <s v="95. Gerencia Comercial y Marketing"/>
  </r>
  <r>
    <s v="94.3.1.1.024"/>
    <x v="38"/>
    <d v="2024-01-31T00:00:00"/>
    <s v="0900061814"/>
    <s v="DOC"/>
    <s v="DOC"/>
    <s v="DOCUMENTO POR.."/>
    <n v="3476"/>
    <n v="1005.79"/>
    <m/>
    <m/>
    <s v="05.40.61.92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476"/>
    <n v="1005.79"/>
    <s v="Gastos Administrativos"/>
    <x v="27"/>
    <x v="13"/>
    <s v="92. Gerencia de Administración y Finanzas"/>
  </r>
  <r>
    <s v="94.3.1.1.059"/>
    <x v="31"/>
    <d v="2024-01-31T00:00:00"/>
    <s v="0900061871"/>
    <s v="DOC"/>
    <s v="DOC"/>
    <s v="DOCUMENTO POR.."/>
    <n v="4406"/>
    <n v="1274.8800000000001"/>
    <m/>
    <m/>
    <s v="05.40.61.92.08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06"/>
    <n v="1274.8800000000001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3045"/>
    <n v="881.08"/>
    <m/>
    <m/>
    <s v="05.40.61.92.08"/>
    <s v="3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3045"/>
    <n v="881.08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4459"/>
    <n v="1290.22"/>
    <m/>
    <m/>
    <s v="05.40.61.92.08"/>
    <s v="4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459"/>
    <n v="1290.22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7095"/>
    <n v="2052.9499999999998"/>
    <m/>
    <m/>
    <s v="05.40.61.92.08"/>
    <s v="5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7095"/>
    <n v="2052.9499999999998"/>
    <s v="Gastos Administrativos"/>
    <x v="5"/>
    <x v="2"/>
    <s v="92. Gerencia de Administración y Finanzas"/>
  </r>
  <r>
    <s v="94.3.1.1.059"/>
    <x v="31"/>
    <d v="2024-01-31T00:00:00"/>
    <s v="0900061871"/>
    <s v="DOC"/>
    <s v="DOC"/>
    <s v="DOCUMENTO POR.."/>
    <n v="4827"/>
    <n v="1396.7"/>
    <m/>
    <m/>
    <s v="05.40.61.92.08"/>
    <s v="6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4827"/>
    <n v="1396.7"/>
    <s v="Gastos Administrativos"/>
    <x v="5"/>
    <x v="2"/>
    <s v="92. Gerencia de Administración y Finanzas"/>
  </r>
  <r>
    <s v="94.4.1.1.012"/>
    <x v="39"/>
    <d v="2024-01-31T00:00:00"/>
    <s v="0900061891"/>
    <s v="DOC"/>
    <s v="DOC"/>
    <s v="DOCUMENTO POR.."/>
    <n v="8919"/>
    <n v="2580.73"/>
    <m/>
    <m/>
    <s v="05.40.61.95.04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8919"/>
    <n v="2580.73"/>
    <s v="Gasto venta Fijo"/>
    <x v="28"/>
    <x v="6"/>
    <s v="95. Gerencia Comercial y Marketing"/>
  </r>
  <r>
    <s v="94.5.1.1.037"/>
    <x v="40"/>
    <d v="2024-01-31T00:00:00"/>
    <s v="0900061942"/>
    <s v="DOC"/>
    <s v="DOC"/>
    <s v="DOCUMENTO POR.."/>
    <n v="6897"/>
    <n v="1995.66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6897"/>
    <n v="1995.66"/>
    <s v="Gastos Administrativos"/>
    <x v="0"/>
    <x v="0"/>
    <s v="92. Gerencia de Administración y Finanzas"/>
  </r>
  <r>
    <s v="94.5.1.1.037"/>
    <x v="40"/>
    <d v="2024-01-31T00:00:00"/>
    <s v="0900061971"/>
    <s v="DOC"/>
    <s v="DOC"/>
    <s v="DOCUMENTO POR.."/>
    <n v="5379"/>
    <n v="1556.42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379"/>
    <n v="1556.42"/>
    <s v="Gastos Administrativos"/>
    <x v="0"/>
    <x v="0"/>
    <s v="92. Gerencia de Administración y Finanzas"/>
  </r>
  <r>
    <s v="94.5.1.1.037"/>
    <x v="40"/>
    <d v="2024-01-31T00:00:00"/>
    <s v="0900061973"/>
    <s v="DOC"/>
    <s v="DOC"/>
    <s v="DOCUMENTO POR.."/>
    <n v="5414"/>
    <n v="1566.55"/>
    <m/>
    <m/>
    <s v="05.40.61.92.01"/>
    <s v="2"/>
    <s v="01"/>
    <s v="GLOSA"/>
    <s v="Cuentas por Pagar"/>
    <s v="DOC"/>
    <s v="ND"/>
    <s v="NO DEFINIDO"/>
    <s v="CP"/>
    <s v=""/>
    <s v=""/>
    <s v="ND"/>
    <s v="ND"/>
    <s v="ND"/>
    <s v="ND"/>
    <s v="ND"/>
    <s v=""/>
    <s v="ND"/>
    <s v=""/>
    <s v=""/>
    <n v="5414"/>
    <n v="1566.55"/>
    <s v="Gastos Administrativos"/>
    <x v="0"/>
    <x v="0"/>
    <s v="92. Gerencia de Administración y Finanzas"/>
  </r>
  <r>
    <s v="94.4.1.1.015"/>
    <x v="4"/>
    <d v="2024-01-31T00:00:00"/>
    <s v="1300017536"/>
    <s v="DOC"/>
    <s v="DOC"/>
    <s v="DOCUMENTO POR.."/>
    <n v="4825"/>
    <n v="1396.12"/>
    <m/>
    <m/>
    <s v="05.40.61.95.01"/>
    <s v="1"/>
    <s v="02"/>
    <s v="GLOSA"/>
    <s v="Caja Chica"/>
    <s v="DOC"/>
    <s v="ND"/>
    <s v="NO DEFINIDO"/>
    <s v="CJ"/>
    <s v=""/>
    <s v=""/>
    <s v="ND"/>
    <s v="ND"/>
    <s v="ND"/>
    <s v="ND"/>
    <s v="ND"/>
    <s v=""/>
    <s v="ND"/>
    <s v=""/>
    <s v=""/>
    <n v="4825"/>
    <n v="1396.12"/>
    <s v="Gasto venta Fijo"/>
    <x v="0"/>
    <x v="11"/>
    <s v="95. Gerencia Comercial y Marketing"/>
  </r>
  <r>
    <s v="94.3.1.1.059"/>
    <x v="31"/>
    <d v="2024-01-31T00:00:00"/>
    <s v="1400022246"/>
    <s v="DOC"/>
    <s v="DOC"/>
    <s v="DOCUMENTO POR.."/>
    <n v="2547"/>
    <n v="736.98"/>
    <m/>
    <m/>
    <s v="05.40.61.92.05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547"/>
    <n v="736.98"/>
    <s v="Gastos Administrativos"/>
    <x v="5"/>
    <x v="1"/>
    <s v="92. Gerencia de Administración y Finanzas"/>
  </r>
  <r>
    <s v="94.3.1.1.006"/>
    <x v="1"/>
    <d v="2024-01-31T00:00:00"/>
    <s v="1400022246"/>
    <s v="DOC"/>
    <s v="DOC"/>
    <s v="DOCUMENTO POR.."/>
    <n v="5203"/>
    <n v="1505.5"/>
    <m/>
    <m/>
    <s v="05.40.61.92.05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03"/>
    <n v="1505.5"/>
    <s v="Gastos Administrativos"/>
    <x v="1"/>
    <x v="1"/>
    <s v="92. Gerencia de Administración y Finanzas"/>
  </r>
  <r>
    <s v="94.3.1.1.007"/>
    <x v="37"/>
    <d v="2024-01-31T00:00:00"/>
    <s v="1400022246"/>
    <s v="DOC"/>
    <s v="DOC"/>
    <s v="DOCUMENTO POR.."/>
    <n v="5666"/>
    <n v="1639.47"/>
    <m/>
    <m/>
    <s v="05.40.61.92.05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66"/>
    <n v="1639.47"/>
    <s v="Gastos Administrativos"/>
    <x v="1"/>
    <x v="1"/>
    <s v="92. Gerencia de Administración y Finanzas"/>
  </r>
  <r>
    <s v="94.3.1.1.059"/>
    <x v="31"/>
    <d v="2024-01-31T00:00:00"/>
    <s v="1400022246"/>
    <s v="DOC"/>
    <s v="DOC"/>
    <s v="DOCUMENTO POR.."/>
    <n v="1198"/>
    <n v="346.64"/>
    <m/>
    <m/>
    <s v="05.40.61.92.05"/>
    <s v="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198"/>
    <n v="346.64"/>
    <s v="Gastos Administrativos"/>
    <x v="5"/>
    <x v="1"/>
    <s v="92. Gerencia de Administración y Finanzas"/>
  </r>
  <r>
    <s v="94.3.1.1.108"/>
    <x v="32"/>
    <d v="2024-01-31T00:00:00"/>
    <s v="1400022246"/>
    <s v="DOC"/>
    <s v="DOC"/>
    <s v="DOCUMENTO POR.."/>
    <n v="4202"/>
    <n v="1215.8599999999999"/>
    <m/>
    <m/>
    <s v="05.40.61.92.05"/>
    <s v="1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202"/>
    <n v="1215.8599999999999"/>
    <s v="Gastos Administrativos"/>
    <x v="23"/>
    <x v="1"/>
    <s v="92. Gerencia de Administración y Finanzas"/>
  </r>
  <r>
    <s v="94.3.1.1.059"/>
    <x v="31"/>
    <d v="2024-01-31T00:00:00"/>
    <s v="1400022246"/>
    <s v="DOC"/>
    <s v="DOC"/>
    <s v="DOCUMENTO POR.."/>
    <n v="5901"/>
    <n v="1707.47"/>
    <m/>
    <m/>
    <s v="05.40.61.92.05"/>
    <s v="1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901"/>
    <n v="1707.47"/>
    <s v="Gastos Administrativos"/>
    <x v="5"/>
    <x v="1"/>
    <s v="92. Gerencia de Administración y Finanzas"/>
  </r>
  <r>
    <s v="94.3.1.1.007"/>
    <x v="37"/>
    <d v="2024-01-31T00:00:00"/>
    <s v="1400022246"/>
    <s v="DOC"/>
    <s v="DOC"/>
    <s v="DOCUMENTO POR.."/>
    <n v="5603"/>
    <n v="1621.24"/>
    <m/>
    <m/>
    <s v="05.40.61.92.05"/>
    <s v="1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03"/>
    <n v="1621.24"/>
    <s v="Gastos Administrativos"/>
    <x v="1"/>
    <x v="1"/>
    <s v="92. Gerencia de Administración y Finanzas"/>
  </r>
  <r>
    <s v="94.3.1.1.010"/>
    <x v="9"/>
    <d v="2024-01-31T00:00:00"/>
    <s v="1400022246"/>
    <s v="DOC"/>
    <s v="DOC"/>
    <s v="DOCUMENTO POR.."/>
    <n v="7696"/>
    <n v="2226.85"/>
    <m/>
    <m/>
    <s v="05.40.61.92.05"/>
    <s v="1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696"/>
    <n v="2226.85"/>
    <s v="Gastos Administrativos"/>
    <x v="1"/>
    <x v="1"/>
    <s v="92. Gerencia de Administración y Finanzas"/>
  </r>
  <r>
    <s v="94.3.1.1.035"/>
    <x v="41"/>
    <d v="2024-01-31T00:00:00"/>
    <s v="1400022247"/>
    <s v="DOC"/>
    <s v="DOC"/>
    <s v="DOCUMENTO POR.."/>
    <n v="8899"/>
    <n v="2574.94"/>
    <m/>
    <m/>
    <s v="05.40.61.92.04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99"/>
    <n v="2574.94"/>
    <s v="Gastos Administrativos"/>
    <x v="26"/>
    <x v="13"/>
    <s v="92. Gerencia de Administración y Finanzas"/>
  </r>
  <r>
    <s v="94.3.1.1.035"/>
    <x v="41"/>
    <d v="2024-01-31T00:00:00"/>
    <s v="1400022247"/>
    <s v="DOC"/>
    <s v="DOC"/>
    <s v="DOCUMENTO POR.."/>
    <n v="7328"/>
    <n v="2120.37"/>
    <m/>
    <m/>
    <s v="05.40.61.92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328"/>
    <n v="2120.37"/>
    <s v="Gastos Administrativos"/>
    <x v="26"/>
    <x v="13"/>
    <s v="92. Gerencia de Administración y Finanzas"/>
  </r>
  <r>
    <s v="94.3.1.1.036"/>
    <x v="36"/>
    <d v="2024-01-31T00:00:00"/>
    <s v="1400022247"/>
    <s v="DOC"/>
    <s v="DOC"/>
    <s v="DOCUMENTO POR.."/>
    <n v="3306"/>
    <n v="956.6"/>
    <m/>
    <m/>
    <s v="05.40.61.92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306"/>
    <n v="956.6"/>
    <s v="Gastos Administrativos"/>
    <x v="26"/>
    <x v="13"/>
    <s v="92. Gerencia de Administración y Finanzas"/>
  </r>
  <r>
    <s v="94.5.1.1.029"/>
    <x v="10"/>
    <d v="2024-01-31T00:00:00"/>
    <s v="1400022247"/>
    <s v="DOC"/>
    <s v="DOC"/>
    <s v="DOCUMENTO POR.."/>
    <n v="3484"/>
    <n v="1008.1"/>
    <m/>
    <m/>
    <s v="05.40.61.92.02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484"/>
    <n v="1008.1"/>
    <s v="Gastos Administrativos"/>
    <x v="7"/>
    <x v="15"/>
    <s v="92. Gerencia de Administración y Finanzas"/>
  </r>
  <r>
    <s v="94.5.1.1.029"/>
    <x v="10"/>
    <d v="2024-01-31T00:00:00"/>
    <s v="1400022247"/>
    <s v="DOC"/>
    <s v="DOC"/>
    <s v="DOCUMENTO POR.."/>
    <n v="6599"/>
    <n v="1909.43"/>
    <m/>
    <m/>
    <s v="05.40.61.92.03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599"/>
    <n v="1909.43"/>
    <s v="Gastos Administrativos"/>
    <x v="7"/>
    <x v="4"/>
    <s v="92. Gerencia de Administración y Finanzas"/>
  </r>
  <r>
    <s v="94.5.1.1.029"/>
    <x v="10"/>
    <d v="2024-01-31T00:00:00"/>
    <s v="1400022247"/>
    <s v="DOC"/>
    <s v="DOC"/>
    <s v="DOCUMENTO POR.."/>
    <n v="7628"/>
    <n v="2207.1799999999998"/>
    <m/>
    <m/>
    <s v="05.40.61.92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628"/>
    <n v="2207.1799999999998"/>
    <s v="Gastos Administrativos"/>
    <x v="7"/>
    <x v="13"/>
    <s v="92. Gerencia de Administración y Finanzas"/>
  </r>
  <r>
    <s v="94.5.1.1.029"/>
    <x v="10"/>
    <d v="2024-01-31T00:00:00"/>
    <s v="1400022247"/>
    <s v="DOC"/>
    <s v="DOC"/>
    <s v="DOCUMENTO POR.."/>
    <n v="4169"/>
    <n v="1206.31"/>
    <m/>
    <m/>
    <s v="05.40.61.92.05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169"/>
    <n v="1206.31"/>
    <s v="Gastos Administrativos"/>
    <x v="7"/>
    <x v="1"/>
    <s v="92. Gerencia de Administración y Finanzas"/>
  </r>
  <r>
    <s v="94.5.1.1.029"/>
    <x v="10"/>
    <d v="2024-01-31T00:00:00"/>
    <s v="1400022247"/>
    <s v="DOC"/>
    <s v="DOC"/>
    <s v="DOCUMENTO POR.."/>
    <n v="2261"/>
    <n v="654.22"/>
    <m/>
    <m/>
    <s v="05.40.61.92.06"/>
    <s v="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261"/>
    <n v="654.22"/>
    <s v="Gastos Administrativos"/>
    <x v="7"/>
    <x v="3"/>
    <s v="92. Gerencia de Administración y Finanzas"/>
  </r>
  <r>
    <s v="94.5.1.1.029"/>
    <x v="10"/>
    <d v="2024-01-31T00:00:00"/>
    <s v="1400022247"/>
    <s v="DOC"/>
    <s v="DOC"/>
    <s v="DOCUMENTO POR.."/>
    <n v="5481"/>
    <n v="1585.94"/>
    <m/>
    <m/>
    <s v="05.40.61.92.09"/>
    <s v="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481"/>
    <n v="1585.94"/>
    <s v="Gastos Administrativos"/>
    <x v="7"/>
    <x v="7"/>
    <s v="92. Gerencia de Administración y Finanzas"/>
  </r>
  <r>
    <s v="94.5.1.1.029"/>
    <x v="10"/>
    <d v="2024-01-31T00:00:00"/>
    <s v="1400022247"/>
    <s v="DOC"/>
    <s v="DOC"/>
    <s v="DOCUMENTO POR.."/>
    <n v="5480"/>
    <n v="1585.65"/>
    <m/>
    <m/>
    <s v="05.40.61.93.02"/>
    <s v="1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480"/>
    <n v="1585.65"/>
    <s v="Gastos Administrativos"/>
    <x v="7"/>
    <x v="14"/>
    <s v="93. Gerencia de Operaciones"/>
  </r>
  <r>
    <s v="94.5.1.1.029"/>
    <x v="10"/>
    <d v="2024-01-31T00:00:00"/>
    <s v="1400022247"/>
    <s v="DOC"/>
    <s v="DOC"/>
    <s v="DOCUMENTO POR.."/>
    <n v="5195"/>
    <n v="1503.18"/>
    <m/>
    <m/>
    <s v="05.40.61.93.03"/>
    <s v="1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195"/>
    <n v="1503.18"/>
    <s v="Gastos Administrativos"/>
    <x v="7"/>
    <x v="19"/>
    <s v="93. Gerencia de Operaciones"/>
  </r>
  <r>
    <s v="94.5.1.1.029"/>
    <x v="10"/>
    <d v="2024-01-31T00:00:00"/>
    <s v="1400022247"/>
    <s v="DOC"/>
    <s v="DOC"/>
    <s v="DOCUMENTO POR.."/>
    <n v="2418"/>
    <n v="699.65"/>
    <m/>
    <m/>
    <s v="05.40.61.95.03"/>
    <s v="1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18"/>
    <n v="699.65"/>
    <s v="Gasto venta Fijo"/>
    <x v="7"/>
    <x v="12"/>
    <s v="95. Gerencia Comercial y Marketing"/>
  </r>
  <r>
    <s v="94.5.1.1.029"/>
    <x v="10"/>
    <d v="2024-01-31T00:00:00"/>
    <s v="1400022247"/>
    <s v="DOC"/>
    <s v="DOC"/>
    <s v="DOCUMENTO POR.."/>
    <n v="6313"/>
    <n v="1826.68"/>
    <m/>
    <m/>
    <s v="05.40.61.95.04"/>
    <s v="1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313"/>
    <n v="1826.68"/>
    <s v="Gasto venta Fijo"/>
    <x v="7"/>
    <x v="6"/>
    <s v="95. Gerencia Comercial y Marketing"/>
  </r>
  <r>
    <s v="94.3.1.1.050"/>
    <x v="20"/>
    <d v="2024-01-31T00:00:00"/>
    <s v="1400022247"/>
    <s v="DOC"/>
    <s v="DOC"/>
    <s v="DOCUMENTO POR.."/>
    <n v="5828"/>
    <n v="1686.34"/>
    <m/>
    <m/>
    <s v="05.40.61.92.04"/>
    <s v="1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828"/>
    <n v="1686.34"/>
    <s v="Gastos Administrativos"/>
    <x v="14"/>
    <x v="13"/>
    <s v="92. Gerencia de Administración y Finanzas"/>
  </r>
  <r>
    <s v="94.3.1.1.047"/>
    <x v="42"/>
    <d v="2024-01-31T00:00:00"/>
    <s v="1400022247"/>
    <s v="DOC"/>
    <s v="DOC"/>
    <s v="DOCUMENTO POR.."/>
    <n v="6029"/>
    <n v="1744.5"/>
    <m/>
    <m/>
    <s v="05.40.61.92.04"/>
    <s v="1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029"/>
    <n v="1744.5"/>
    <s v="Gastos Administrativos"/>
    <x v="29"/>
    <x v="13"/>
    <s v="92. Gerencia de Administración y Finanzas"/>
  </r>
  <r>
    <s v="94.3.1.1.013"/>
    <x v="27"/>
    <d v="2024-01-31T00:00:00"/>
    <s v="1400022247"/>
    <s v="DOC"/>
    <s v="DOC"/>
    <s v="DOCUMENTO POR.."/>
    <n v="722"/>
    <n v="208.91"/>
    <m/>
    <m/>
    <s v="05.40.61.92.04"/>
    <s v="1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22"/>
    <n v="208.91"/>
    <s v="Gastos Administrativos"/>
    <x v="20"/>
    <x v="13"/>
    <s v="92. Gerencia de Administración y Finanzas"/>
  </r>
  <r>
    <s v="94.3.1.1.059"/>
    <x v="31"/>
    <d v="2024-01-31T00:00:00"/>
    <s v="1400022247"/>
    <s v="DOC"/>
    <s v="DOC"/>
    <s v="DOCUMENTO POR.."/>
    <n v="1503"/>
    <n v="434.9"/>
    <m/>
    <m/>
    <s v="05.40.61.92.08"/>
    <s v="1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503"/>
    <n v="434.9"/>
    <s v="Gastos Administrativos"/>
    <x v="5"/>
    <x v="2"/>
    <s v="92. Gerencia de Administración y Finanzas"/>
  </r>
  <r>
    <s v="94.3.1.1.041"/>
    <x v="13"/>
    <d v="2024-01-31T00:00:00"/>
    <s v="1400022247"/>
    <s v="DOC"/>
    <s v="DOC"/>
    <s v="DOCUMENTO POR.."/>
    <n v="6250"/>
    <n v="1808.45"/>
    <m/>
    <m/>
    <s v="05.40.61.92.01"/>
    <s v="1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250"/>
    <n v="1808.45"/>
    <s v="Gastos Administrativos"/>
    <x v="10"/>
    <x v="0"/>
    <s v="92. Gerencia de Administración y Finanzas"/>
  </r>
  <r>
    <s v="94.3.1.1.001"/>
    <x v="23"/>
    <d v="2024-01-31T00:00:00"/>
    <s v="1400022247"/>
    <s v="DOC"/>
    <s v="DOC"/>
    <s v="DOCUMENTO POR.."/>
    <n v="5694"/>
    <n v="1647.57"/>
    <m/>
    <m/>
    <s v="05.40.61.95.02"/>
    <s v="1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94"/>
    <n v="1647.57"/>
    <s v="Gasto venta Fijo"/>
    <x v="17"/>
    <x v="16"/>
    <s v="95. Gerencia Comercial y Marketing"/>
  </r>
  <r>
    <s v="94.3.1.1.001"/>
    <x v="23"/>
    <d v="2024-01-31T00:00:00"/>
    <s v="1400022247"/>
    <s v="DOC"/>
    <s v="DOC"/>
    <s v="DOCUMENTO POR.."/>
    <n v="7774"/>
    <n v="2249.42"/>
    <m/>
    <m/>
    <s v="05.40.61.92.04"/>
    <s v="2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774"/>
    <n v="2249.42"/>
    <s v="Gastos Administrativos"/>
    <x v="17"/>
    <x v="13"/>
    <s v="92. Gerencia de Administración y Finanzas"/>
  </r>
  <r>
    <s v="94.3.1.1.001"/>
    <x v="23"/>
    <d v="2024-01-31T00:00:00"/>
    <s v="1400022247"/>
    <s v="DOC"/>
    <s v="DOC"/>
    <s v="DOCUMENTO POR.."/>
    <n v="243"/>
    <n v="70.31"/>
    <m/>
    <m/>
    <s v="05.40.61.96.01"/>
    <s v="2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3"/>
    <n v="70.31"/>
    <s v="Gastos Administrativos"/>
    <x v="17"/>
    <x v="10"/>
    <s v="96. Gerencia General"/>
  </r>
  <r>
    <s v="94.5.1.1.009"/>
    <x v="22"/>
    <d v="2024-01-31T00:00:00"/>
    <s v="1400022247"/>
    <s v="DOC"/>
    <s v="DOC"/>
    <s v="DOCUMENTO POR.."/>
    <n v="6756"/>
    <n v="1954.86"/>
    <m/>
    <m/>
    <s v="05.40.61.92.02"/>
    <s v="2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56"/>
    <n v="1954.86"/>
    <s v="Gastos Administrativos"/>
    <x v="16"/>
    <x v="15"/>
    <s v="92. Gerencia de Administración y Finanzas"/>
  </r>
  <r>
    <s v="94.5.1.1.036"/>
    <x v="43"/>
    <d v="2024-01-31T00:00:00"/>
    <s v="1400022247"/>
    <s v="DOC"/>
    <s v="DOC"/>
    <s v="DOCUMENTO POR.."/>
    <n v="4248"/>
    <n v="1229.17"/>
    <m/>
    <m/>
    <s v="05.40.61.92.04"/>
    <s v="2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248"/>
    <n v="1229.17"/>
    <s v="Gastos Administrativos"/>
    <x v="0"/>
    <x v="13"/>
    <s v="92. Gerencia de Administración y Finanzas"/>
  </r>
  <r>
    <s v="94.3.1.1.059"/>
    <x v="31"/>
    <d v="2024-01-31T00:00:00"/>
    <s v="1400022248"/>
    <s v="DOC"/>
    <s v="DOC"/>
    <s v="DOCUMENTO POR.."/>
    <n v="6736"/>
    <n v="1949.07"/>
    <m/>
    <m/>
    <s v="05.40.61.92.08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36"/>
    <n v="1949.07"/>
    <s v="Gastos Administrativos"/>
    <x v="5"/>
    <x v="2"/>
    <s v="92. Gerencia de Administración y Finanzas"/>
  </r>
  <r>
    <s v="94.3.1.1.059"/>
    <x v="31"/>
    <d v="2024-01-31T00:00:00"/>
    <s v="1400022248"/>
    <s v="DOC"/>
    <s v="DOC"/>
    <s v="DOCUMENTO POR.."/>
    <n v="2428"/>
    <n v="702.55"/>
    <m/>
    <m/>
    <s v="05.40.61.92.08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28"/>
    <n v="702.55"/>
    <s v="Gastos Administrativos"/>
    <x v="5"/>
    <x v="2"/>
    <s v="92. Gerencia de Administración y Finanzas"/>
  </r>
  <r>
    <s v="94.3.1.1.065"/>
    <x v="14"/>
    <d v="2024-01-31T00:00:00"/>
    <s v="1400022248"/>
    <s v="DOC"/>
    <s v="DOC"/>
    <s v="DOCUMENTO POR.."/>
    <n v="451"/>
    <n v="130.5"/>
    <m/>
    <m/>
    <s v="05.40.61.92.08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51"/>
    <n v="130.5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3154"/>
    <n v="912.62"/>
    <m/>
    <m/>
    <s v="05.40.61.92.08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154"/>
    <n v="912.62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2588"/>
    <n v="748.84"/>
    <m/>
    <m/>
    <s v="05.40.61.92.08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588"/>
    <n v="748.84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958"/>
    <n v="277.2"/>
    <m/>
    <m/>
    <s v="05.40.61.92.08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958"/>
    <n v="277.2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1408"/>
    <n v="407.41"/>
    <m/>
    <m/>
    <s v="05.40.61.92.08"/>
    <s v="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408"/>
    <n v="407.41"/>
    <s v="Gastos Administrativos"/>
    <x v="11"/>
    <x v="2"/>
    <s v="92. Gerencia de Administración y Finanzas"/>
  </r>
  <r>
    <s v="94.3.1.1.065"/>
    <x v="14"/>
    <d v="2024-01-31T00:00:00"/>
    <s v="1400022248"/>
    <s v="DOC"/>
    <s v="DOC"/>
    <s v="DOCUMENTO POR.."/>
    <n v="889"/>
    <n v="257.23"/>
    <m/>
    <m/>
    <s v="05.40.61.92.08"/>
    <s v="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9"/>
    <n v="257.23"/>
    <s v="Gastos Administrativos"/>
    <x v="11"/>
    <x v="2"/>
    <s v="92. Gerencia de Administración y Finanzas"/>
  </r>
  <r>
    <s v="94.3.1.1.065"/>
    <x v="14"/>
    <d v="2024-01-31T00:00:00"/>
    <s v="1400022249"/>
    <s v="DOC"/>
    <s v="DOC"/>
    <s v="DOCUMENTO POR.."/>
    <n v="6478"/>
    <n v="1874.42"/>
    <m/>
    <m/>
    <s v="05.40.61.92.08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478"/>
    <n v="1874.42"/>
    <s v="Gastos Administrativos"/>
    <x v="11"/>
    <x v="2"/>
    <s v="92. Gerencia de Administración y Finanzas"/>
  </r>
  <r>
    <s v="94.3.1.1.059"/>
    <x v="31"/>
    <d v="2024-01-31T00:00:00"/>
    <s v="1400022255"/>
    <s v="DOC"/>
    <s v="DOC"/>
    <s v="DOCUMENTO POR.."/>
    <n v="4779"/>
    <n v="1382.81"/>
    <m/>
    <m/>
    <s v="05.40.61.95.02"/>
    <s v="2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779"/>
    <n v="1382.81"/>
    <s v="Gasto venta Fijo"/>
    <x v="5"/>
    <x v="16"/>
    <s v="95. Gerencia Comercial y Marketing"/>
  </r>
  <r>
    <s v="94.5.1.1.113"/>
    <x v="29"/>
    <d v="2024-01-31T00:00:00"/>
    <s v="1400022255"/>
    <s v="DOC"/>
    <s v="DOC"/>
    <s v="DOCUMENTO POR.."/>
    <n v="1662"/>
    <n v="480.9"/>
    <m/>
    <m/>
    <s v="05.40.61.93.05"/>
    <s v="30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662"/>
    <n v="480.9"/>
    <s v="Gastos Administrativos"/>
    <x v="21"/>
    <x v="17"/>
    <s v="93. Gerencia de Operaciones"/>
  </r>
  <r>
    <s v="94.5.1.1.113"/>
    <x v="29"/>
    <d v="2024-01-31T00:00:00"/>
    <s v="1400022255"/>
    <s v="DOC"/>
    <s v="DOC"/>
    <s v="DOCUMENTO POR.."/>
    <n v="2841"/>
    <n v="822.05"/>
    <m/>
    <m/>
    <s v="05.40.61.93.05"/>
    <s v="3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841"/>
    <n v="822.05"/>
    <s v="Gastos Administrativos"/>
    <x v="21"/>
    <x v="17"/>
    <s v="93. Gerencia de Operaciones"/>
  </r>
  <r>
    <s v="94.3.1.1.059"/>
    <x v="31"/>
    <d v="2024-01-31T00:00:00"/>
    <s v="1400022255"/>
    <s v="DOC"/>
    <s v="DOC"/>
    <s v="DOCUMENTO POR.."/>
    <n v="4454"/>
    <n v="1288.77"/>
    <m/>
    <m/>
    <s v="05.40.61.95.04"/>
    <s v="3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454"/>
    <n v="1288.77"/>
    <s v="Gasto venta Fijo"/>
    <x v="5"/>
    <x v="6"/>
    <s v="95. Gerencia Comercial y Marketing"/>
  </r>
  <r>
    <s v="94.3.1.1.059"/>
    <x v="31"/>
    <d v="2024-01-31T00:00:00"/>
    <s v="1400022255"/>
    <s v="DOC"/>
    <s v="DOC"/>
    <s v="DOCUMENTO POR.."/>
    <n v="7432"/>
    <n v="2150.46"/>
    <m/>
    <m/>
    <s v="05.40.61.95.04"/>
    <s v="3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432"/>
    <n v="2150.46"/>
    <s v="Gasto venta Fijo"/>
    <x v="5"/>
    <x v="6"/>
    <s v="95. Gerencia Comercial y Marketing"/>
  </r>
  <r>
    <s v="94.3.1.1.024"/>
    <x v="38"/>
    <d v="2024-01-31T00:00:00"/>
    <s v="1400022255"/>
    <s v="DOC"/>
    <s v="DOC"/>
    <s v="DOCUMENTO POR.."/>
    <n v="3635"/>
    <n v="1051.79"/>
    <m/>
    <m/>
    <s v="05.40.61.95.04"/>
    <s v="37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635"/>
    <n v="1051.79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3752"/>
    <n v="1085.6500000000001"/>
    <m/>
    <m/>
    <s v="05.40.61.95.04"/>
    <s v="38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752"/>
    <n v="1085.6500000000001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3195"/>
    <n v="924.48"/>
    <m/>
    <m/>
    <s v="05.40.61.95.04"/>
    <s v="4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3195"/>
    <n v="924.48"/>
    <s v="Gasto venta Fijo"/>
    <x v="27"/>
    <x v="6"/>
    <s v="95. Gerencia Comercial y Marketing"/>
  </r>
  <r>
    <s v="94.3.1.1.024"/>
    <x v="38"/>
    <d v="2024-01-31T00:00:00"/>
    <s v="1400022255"/>
    <s v="DOC"/>
    <s v="DOC"/>
    <s v="DOCUMENTO POR.."/>
    <n v="2415"/>
    <n v="698.78"/>
    <m/>
    <m/>
    <s v="05.40.61.95.04"/>
    <s v="4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415"/>
    <n v="698.78"/>
    <s v="Gasto venta Fijo"/>
    <x v="27"/>
    <x v="6"/>
    <s v="95. Gerencia Comercial y Marketing"/>
  </r>
  <r>
    <s v="94.3.1.1.041"/>
    <x v="13"/>
    <d v="2024-01-31T00:00:00"/>
    <s v="1400022255"/>
    <s v="DOC"/>
    <s v="DOC"/>
    <s v="DOCUMENTO POR.."/>
    <n v="6870"/>
    <n v="1987.85"/>
    <m/>
    <m/>
    <s v="05.40.61.12.01"/>
    <s v="49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870"/>
    <n v="1987.85"/>
    <s v="Gastos Administrativos"/>
    <x v="10"/>
    <x v="20"/>
    <s v="93. Gerencia de Operaciones"/>
  </r>
  <r>
    <s v="94.3.1.1.035"/>
    <x v="41"/>
    <d v="2024-01-31T00:00:00"/>
    <s v="1400022260"/>
    <s v="DOC"/>
    <s v="DOC"/>
    <s v="DOCUMENTO POR.."/>
    <n v="6758"/>
    <n v="1955.44"/>
    <m/>
    <m/>
    <s v="05.40.61.92.04"/>
    <s v="2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58"/>
    <n v="1955.44"/>
    <s v="Gastos Administrativos"/>
    <x v="26"/>
    <x v="13"/>
    <s v="92. Gerencia de Administración y Finanzas"/>
  </r>
  <r>
    <s v="94.3.1.1.035"/>
    <x v="41"/>
    <d v="2024-01-31T00:00:00"/>
    <s v="1400022260"/>
    <s v="DOC"/>
    <s v="DOC"/>
    <s v="DOCUMENTO POR.."/>
    <n v="7836"/>
    <n v="2267.36"/>
    <m/>
    <m/>
    <s v="05.40.61.92.04"/>
    <s v="3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836"/>
    <n v="2267.36"/>
    <s v="Gastos Administrativos"/>
    <x v="26"/>
    <x v="13"/>
    <s v="92. Gerencia de Administración y Finanzas"/>
  </r>
  <r>
    <s v="94.3.1.1.080"/>
    <x v="5"/>
    <d v="2024-01-31T00:00:00"/>
    <s v="1400022267"/>
    <s v="DOC"/>
    <s v="DOC"/>
    <s v="DOCUMENTO POR.."/>
    <n v="2154"/>
    <n v="623.26"/>
    <m/>
    <m/>
    <s v="05.40.61.95.04"/>
    <s v="2"/>
    <s v="06"/>
    <s v="GLOSA"/>
    <s v="Contabilidad General"/>
    <s v="DOC"/>
    <s v="ND"/>
    <s v="NO DEFINIDO"/>
    <s v="CG"/>
    <s v="PROVISIONES 2023,"/>
    <s v=""/>
    <s v="ND"/>
    <s v="ND"/>
    <s v="ND"/>
    <s v="ND"/>
    <s v="ND"/>
    <s v=""/>
    <s v="ND"/>
    <s v=""/>
    <s v=""/>
    <n v="2154"/>
    <n v="623.26"/>
    <s v="Gasto venta Fijo"/>
    <x v="4"/>
    <x v="6"/>
    <s v="95. Gerencia Comercial y Marketing"/>
  </r>
  <r>
    <s v="94.3.1.1.080"/>
    <x v="5"/>
    <d v="2024-01-31T00:00:00"/>
    <s v="1400022267"/>
    <s v="DOC"/>
    <s v="DOC"/>
    <s v="DOCUMENTO POR.."/>
    <n v="5471"/>
    <n v="1583.04"/>
    <m/>
    <m/>
    <s v="05.40.61.95.04"/>
    <s v="4"/>
    <s v="06"/>
    <s v="GLOSA"/>
    <s v="Contabilidad General"/>
    <s v="DOC"/>
    <s v="ND"/>
    <s v="NO DEFINIDO"/>
    <s v="CG"/>
    <s v="PROVISIONES 2023,"/>
    <s v=""/>
    <s v="ND"/>
    <s v="ND"/>
    <s v="ND"/>
    <s v="ND"/>
    <s v="ND"/>
    <s v=""/>
    <s v="ND"/>
    <s v=""/>
    <s v=""/>
    <n v="5471"/>
    <n v="1583.04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4453"/>
    <n v="1288.48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453"/>
    <n v="1288.48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6913"/>
    <n v="2000.29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913"/>
    <n v="2000.29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1816"/>
    <n v="525.46"/>
    <m/>
    <m/>
    <s v="05.40.61.95.04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816"/>
    <n v="525.46"/>
    <s v="Gasto venta Fijo"/>
    <x v="4"/>
    <x v="6"/>
    <s v="95. Gerencia Comercial y Marketing"/>
  </r>
  <r>
    <s v="94.3.1.1.077"/>
    <x v="44"/>
    <d v="2024-01-31T00:00:00"/>
    <s v="1400022270"/>
    <s v="DOC"/>
    <s v="DOC"/>
    <s v="DOCUMENTO POR.."/>
    <n v="5290"/>
    <n v="1530.67"/>
    <m/>
    <m/>
    <s v="05.40.61.95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90"/>
    <n v="1530.67"/>
    <s v="Gasto venta Fijo"/>
    <x v="4"/>
    <x v="6"/>
    <s v="95. Gerencia Comercial y Marketing"/>
  </r>
  <r>
    <s v="94.5.1.1.113"/>
    <x v="29"/>
    <d v="2024-01-31T00:00:00"/>
    <s v="1400022279"/>
    <s v="DOC"/>
    <s v="DOC"/>
    <s v="DOCUMENTO POR.."/>
    <n v="976"/>
    <n v="282.41000000000003"/>
    <m/>
    <m/>
    <s v="05.40.61.93.05"/>
    <s v="11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976"/>
    <n v="282.41000000000003"/>
    <s v="Gastos Administrativos"/>
    <x v="21"/>
    <x v="17"/>
    <s v="93. Gerencia de Operaciones"/>
  </r>
  <r>
    <s v="94.3.1.1.006"/>
    <x v="1"/>
    <d v="2024-01-31T00:00:00"/>
    <s v="1400022314"/>
    <s v="DOC"/>
    <s v="DOC"/>
    <s v="DOCUMENTO POR.."/>
    <n v="5644"/>
    <n v="1633.1"/>
    <m/>
    <m/>
    <s v="05.40.61.92.05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44"/>
    <n v="1633.1"/>
    <s v="Gastos Administrativos"/>
    <x v="1"/>
    <x v="1"/>
    <s v="92. Gerencia de Administración y Finanzas"/>
  </r>
  <r>
    <s v="94.3.1.1.108"/>
    <x v="32"/>
    <d v="2024-01-31T00:00:00"/>
    <s v="1400022315"/>
    <s v="DOC"/>
    <s v="DOC"/>
    <s v="DOCUMENTO POR.."/>
    <n v="7477"/>
    <n v="2163.48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477"/>
    <n v="2163.48"/>
    <s v="Gastos Administrativos"/>
    <x v="23"/>
    <x v="1"/>
    <s v="92. Gerencia de Administración y Finanzas"/>
  </r>
  <r>
    <s v="94.3.1.1.080"/>
    <x v="5"/>
    <d v="2024-01-31T00:00:00"/>
    <s v="1400022316"/>
    <s v="DOC"/>
    <s v="DOC"/>
    <s v="DOCUMENTO POR.."/>
    <n v="5216"/>
    <n v="1509.26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216"/>
    <n v="1509.26"/>
    <s v="Gasto venta Fijo"/>
    <x v="4"/>
    <x v="6"/>
    <s v="95. Gerencia Comercial y Marketing"/>
  </r>
  <r>
    <s v="94.3.1.1.080"/>
    <x v="5"/>
    <d v="2024-01-31T00:00:00"/>
    <s v="1400022316"/>
    <s v="DOC"/>
    <s v="DOC"/>
    <s v="DOCUMENTO POR.."/>
    <n v="6121"/>
    <n v="1771.12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121"/>
    <n v="1771.12"/>
    <s v="Gasto venta Fijo"/>
    <x v="4"/>
    <x v="6"/>
    <s v="95. Gerencia Comercial y Marketing"/>
  </r>
  <r>
    <s v="94.4.1.1.014"/>
    <x v="45"/>
    <d v="2024-01-31T00:00:00"/>
    <s v="1400022317"/>
    <s v="DOC"/>
    <s v="DOC"/>
    <s v="DOCUMENTO POR.."/>
    <n v="8858"/>
    <n v="2563.08"/>
    <m/>
    <m/>
    <s v="05.40.61.92.01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858"/>
    <n v="2563.08"/>
    <s v="Gastos Administrativos"/>
    <x v="0"/>
    <x v="0"/>
    <s v="92. Gerencia de Administración y Finanzas"/>
  </r>
  <r>
    <s v="94.5.1.1.026"/>
    <x v="46"/>
    <d v="2024-01-31T00:00:00"/>
    <s v="1400022318"/>
    <s v="DOC"/>
    <s v="DOC"/>
    <s v="DOCUMENTO POR.."/>
    <n v="2236"/>
    <n v="646.99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236"/>
    <n v="646.99"/>
    <s v="Gastos Administrativos"/>
    <x v="22"/>
    <x v="1"/>
    <s v="92. Gerencia de Administración y Finanzas"/>
  </r>
  <r>
    <s v="94.3.1.1.059"/>
    <x v="31"/>
    <d v="2024-01-31T00:00:00"/>
    <s v="1400022319"/>
    <s v="DOC"/>
    <s v="DOC"/>
    <s v="DOCUMENTO POR.."/>
    <n v="1398"/>
    <n v="404.51"/>
    <m/>
    <m/>
    <s v="05.40.61.92.05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398"/>
    <n v="404.51"/>
    <s v="Gastos Administrativos"/>
    <x v="5"/>
    <x v="1"/>
    <s v="92. Gerencia de Administración y Finanzas"/>
  </r>
  <r>
    <s v="94.3.1.1.080"/>
    <x v="5"/>
    <d v="2024-01-31T00:00:00"/>
    <s v="1400022320"/>
    <s v="DOC"/>
    <s v="DOC"/>
    <s v="DOCUMENTO POR.."/>
    <n v="8732"/>
    <n v="2526.62"/>
    <m/>
    <m/>
    <s v="05.40.61.95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8732"/>
    <n v="2526.62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2132"/>
    <n v="616.9"/>
    <m/>
    <m/>
    <s v="05.40.61.95.04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2132"/>
    <n v="616.9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5000"/>
    <n v="1446.76"/>
    <m/>
    <m/>
    <s v="05.40.61.95.04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000"/>
    <n v="1446.76"/>
    <s v="Gasto venta Fijo"/>
    <x v="4"/>
    <x v="6"/>
    <s v="95. Gerencia Comercial y Marketing"/>
  </r>
  <r>
    <s v="94.3.1.1.080"/>
    <x v="5"/>
    <d v="2024-01-31T00:00:00"/>
    <s v="1400022320"/>
    <s v="DOC"/>
    <s v="DOC"/>
    <s v="DOCUMENTO POR.."/>
    <n v="5608"/>
    <n v="1622.69"/>
    <m/>
    <m/>
    <s v="05.40.61.95.04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5608"/>
    <n v="1622.69"/>
    <s v="Gasto venta Fijo"/>
    <x v="4"/>
    <x v="6"/>
    <s v="95. Gerencia Comercial y Marketing"/>
  </r>
  <r>
    <s v="94.5.1.1.036"/>
    <x v="43"/>
    <d v="2024-01-31T00:00:00"/>
    <s v="1400022385"/>
    <s v="DOC"/>
    <s v="DOC"/>
    <s v="DOCUMENTO POR.."/>
    <n v="7009"/>
    <n v="2028.07"/>
    <m/>
    <m/>
    <s v="05.40.61.92.04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009"/>
    <n v="2028.07"/>
    <s v="Gastos Administrativos"/>
    <x v="0"/>
    <x v="13"/>
    <s v="92. Gerencia de Administración y Finanzas"/>
  </r>
  <r>
    <s v="94.3.1.1.060"/>
    <x v="47"/>
    <d v="2024-01-31T00:00:00"/>
    <s v="1400022389"/>
    <s v="DOC"/>
    <s v="DOC"/>
    <s v="DOCUMENTO POR.."/>
    <n v="4701"/>
    <n v="1360.24"/>
    <m/>
    <m/>
    <s v="05.40.61.92.05"/>
    <s v="1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701"/>
    <n v="1360.24"/>
    <s v="Gastos Administrativos"/>
    <x v="5"/>
    <x v="1"/>
    <s v="92. Gerencia de Administración y Finanzas"/>
  </r>
  <r>
    <s v="94.3.1.1.059"/>
    <x v="31"/>
    <d v="2024-01-31T00:00:00"/>
    <s v="1400022390"/>
    <s v="DOC"/>
    <s v="DOC"/>
    <s v="DOCUMENTO POR.."/>
    <n v="6885"/>
    <n v="1992.19"/>
    <m/>
    <m/>
    <s v="05.40.61.92.08"/>
    <s v="2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885"/>
    <n v="1992.19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6719"/>
    <n v="1944.16"/>
    <m/>
    <m/>
    <s v="05.40.61.92.08"/>
    <s v="3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6719"/>
    <n v="1944.16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7089"/>
    <n v="2051.2199999999998"/>
    <m/>
    <m/>
    <s v="05.40.61.92.08"/>
    <s v="4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7089"/>
    <n v="2051.2199999999998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1382"/>
    <n v="399.88"/>
    <m/>
    <m/>
    <s v="05.40.61.92.08"/>
    <s v="5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1382"/>
    <n v="399.88"/>
    <s v="Gastos Administrativos"/>
    <x v="5"/>
    <x v="2"/>
    <s v="92. Gerencia de Administración y Finanzas"/>
  </r>
  <r>
    <s v="94.3.1.1.059"/>
    <x v="31"/>
    <d v="2024-01-31T00:00:00"/>
    <s v="1400022390"/>
    <s v="DOC"/>
    <s v="DOC"/>
    <s v="DOCUMENTO POR.."/>
    <n v="456"/>
    <n v="131.94"/>
    <m/>
    <m/>
    <s v="05.40.61.92.08"/>
    <s v="6"/>
    <s v="06"/>
    <s v="GLOSA"/>
    <s v="Contabilidad General"/>
    <s v="DOC"/>
    <s v="ND"/>
    <s v="NO DEFINIDO"/>
    <s v="CG"/>
    <s v=""/>
    <s v=""/>
    <s v="ND"/>
    <s v="ND"/>
    <s v="ND"/>
    <s v="ND"/>
    <s v="ND"/>
    <s v=""/>
    <s v="ND"/>
    <s v=""/>
    <s v=""/>
    <n v="456"/>
    <n v="131.94"/>
    <s v="Gastos Administrativos"/>
    <x v="5"/>
    <x v="2"/>
    <s v="92. Gerencia de Administración y Finanza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8A1E4F-B9C8-451E-B994-EDD81E8B3318}" name="TablaDinámica1" cacheId="1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C10" firstHeaderRow="1" firstDataRow="1" firstDataCol="2" rowPageCount="1" colPageCount="1"/>
  <pivotFields count="3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9">
        <item x="3"/>
        <item x="36"/>
        <item x="32"/>
        <item x="47"/>
        <item x="15"/>
        <item x="43"/>
        <item x="46"/>
        <item x="24"/>
        <item x="19"/>
        <item x="23"/>
        <item x="18"/>
        <item x="21"/>
        <item x="40"/>
        <item x="41"/>
        <item x="7"/>
        <item x="35"/>
        <item x="44"/>
        <item x="25"/>
        <item x="14"/>
        <item x="29"/>
        <item x="31"/>
        <item x="6"/>
        <item x="20"/>
        <item x="0"/>
        <item x="4"/>
        <item x="45"/>
        <item x="30"/>
        <item x="12"/>
        <item x="16"/>
        <item x="27"/>
        <item x="11"/>
        <item x="33"/>
        <item x="38"/>
        <item x="17"/>
        <item x="42"/>
        <item x="10"/>
        <item x="22"/>
        <item x="5"/>
        <item x="39"/>
        <item x="8"/>
        <item x="2"/>
        <item x="37"/>
        <item x="13"/>
        <item x="9"/>
        <item x="34"/>
        <item x="28"/>
        <item x="1"/>
        <item x="2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1">
        <item x="10"/>
        <item x="29"/>
        <item x="2"/>
        <item x="19"/>
        <item x="11"/>
        <item x="1"/>
        <item x="24"/>
        <item x="15"/>
        <item x="8"/>
        <item x="20"/>
        <item x="28"/>
        <item x="7"/>
        <item x="23"/>
        <item x="14"/>
        <item x="13"/>
        <item x="26"/>
        <item x="16"/>
        <item x="12"/>
        <item x="5"/>
        <item x="17"/>
        <item x="9"/>
        <item x="25"/>
        <item x="27"/>
        <item x="4"/>
        <item x="18"/>
        <item x="22"/>
        <item x="0"/>
        <item x="21"/>
        <item x="6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22">
        <item x="9"/>
        <item x="20"/>
        <item x="0"/>
        <item x="15"/>
        <item x="4"/>
        <item x="13"/>
        <item x="1"/>
        <item x="3"/>
        <item x="2"/>
        <item x="7"/>
        <item x="18"/>
        <item x="14"/>
        <item x="19"/>
        <item x="5"/>
        <item x="17"/>
        <item x="8"/>
        <item x="11"/>
        <item x="16"/>
        <item x="12"/>
        <item x="6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4"/>
    <field x="1"/>
  </rowFields>
  <rowItems count="7">
    <i>
      <x/>
      <x v="42"/>
    </i>
    <i t="default">
      <x/>
    </i>
    <i>
      <x v="11"/>
      <x v="35"/>
    </i>
    <i t="default">
      <x v="11"/>
    </i>
    <i>
      <x v="24"/>
      <x v="17"/>
    </i>
    <i t="default">
      <x v="24"/>
    </i>
    <i t="grand">
      <x/>
    </i>
  </rowItems>
  <colItems count="1">
    <i/>
  </colItems>
  <pageFields count="1">
    <pageField fld="35" item="0" hier="-1"/>
  </pageFields>
  <dataFields count="1">
    <dataField name="Suma de DOL" fld="32" baseField="1" baseItem="42" numFmtId="43"/>
  </dataFields>
  <formats count="2">
    <format dxfId="1">
      <pivotArea field="35" type="button" dataOnly="0" labelOnly="1" outline="0" axis="axisPage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CF9343-D6D9-4007-BF56-91AAD13B7E64}" name="Base" displayName="Base" ref="A1:AK383" totalsRowShown="0" headerRowDxfId="40" dataDxfId="39">
  <autoFilter ref="A1:AK383" xr:uid="{57CF9343-D6D9-4007-BF56-91AAD13B7E64}"/>
  <tableColumns count="37">
    <tableColumn id="2" xr3:uid="{A75BC4A0-249B-40F3-9B8A-09DF8F86CC78}" name="CUENTA CONTABLE" dataDxfId="38"/>
    <tableColumn id="3" xr3:uid="{2B19B165-7493-43A9-B3D0-EB054DDFA093}" name="DESC CUENTA CONTABLE" dataDxfId="37"/>
    <tableColumn id="4" xr3:uid="{2BDAA36F-ECF6-4F1C-B3A9-4DE9686F61A5}" name="FECHA" dataDxfId="36"/>
    <tableColumn id="5" xr3:uid="{5DB6AE73-0B6F-4C2C-8D0C-088BD63DF171}" name="ASIENTO" dataDxfId="35"/>
    <tableColumn id="6" xr3:uid="{CDBF50BC-2ACE-414E-A001-DDC9553EE5ED}" name="TIPO DE DOCUMENTO" dataDxfId="34"/>
    <tableColumn id="7" xr3:uid="{021037F1-5FF4-467F-83E8-19963B644CFE}" name="DOCUMENTO" dataDxfId="33"/>
    <tableColumn id="8" xr3:uid="{C29D0798-C16C-48B3-BA5B-1C278AD3D128}" name="REFERENCIA" dataDxfId="32"/>
    <tableColumn id="9" xr3:uid="{0646C6B7-DCEF-462E-9811-11F308B72503}" name="DEBITO LOCAL" dataDxfId="31"/>
    <tableColumn id="10" xr3:uid="{CB88B161-083D-4034-B160-7C81D187568D}" name="DEBITO DOLAR" dataDxfId="30"/>
    <tableColumn id="11" xr3:uid="{525ED900-FF10-4CDC-911F-B4877FEC06E5}" name="CREDITO LOCAL" dataDxfId="29"/>
    <tableColumn id="12" xr3:uid="{1C3BED99-1E3F-4D05-B373-5DDBCEB7110A}" name="CREDITO DOLAR" dataDxfId="28"/>
    <tableColumn id="13" xr3:uid="{52338662-4122-467B-AB13-F3477E51BB49}" name="CENTRO COSTO" dataDxfId="27"/>
    <tableColumn id="14" xr3:uid="{D0499C2E-1492-42A3-874C-045E8188064E}" name="CONSECUTIVO" dataDxfId="26"/>
    <tableColumn id="15" xr3:uid="{933704C9-7F95-4E4D-AD20-7DD62B6F65CC}" name="TIPO DE ASIENTO" dataDxfId="25"/>
    <tableColumn id="16" xr3:uid="{E261C41E-5AF9-484C-817B-E8860F23E034}" name="GLOSA" dataDxfId="24"/>
    <tableColumn id="17" xr3:uid="{73A0C57D-52EA-4AD0-9A38-FEF36A5FAD67}" name="DESC TIPO DE ASIENTO" dataDxfId="23"/>
    <tableColumn id="18" xr3:uid="{EE7DC129-B943-45E3-8557-F257CC6D482C}" name="FUENTE" dataDxfId="22"/>
    <tableColumn id="19" xr3:uid="{11D40C26-EF85-4046-8EF8-7DE875396CD5}" name="NIT" dataDxfId="21"/>
    <tableColumn id="20" xr3:uid="{69AF68EA-186B-4B8B-9D50-38A6FC4CDEB2}" name="NIT NOMBRE" dataDxfId="20"/>
    <tableColumn id="21" xr3:uid="{E23AA724-2663-4EF5-AEFD-7998241959F6}" name="MODULO" dataDxfId="19"/>
    <tableColumn id="22" xr3:uid="{18AD2724-FA5A-4B06-9F94-FCD8B673EDDA}" name="REP REF" dataDxfId="18"/>
    <tableColumn id="23" xr3:uid="{9AE8C548-0D5C-4E5E-AEBE-65CDC10FF595}" name="COD TESO" dataDxfId="17"/>
    <tableColumn id="24" xr3:uid="{EC6565ED-6366-4082-B8F5-0F61BF58F821}" name="DETALLE" dataDxfId="16"/>
    <tableColumn id="25" xr3:uid="{0782330B-03E3-4D78-B693-2B0CAA648BFD}" name="DETALLE 2" dataDxfId="15"/>
    <tableColumn id="28" xr3:uid="{AB0061E9-F67F-486A-A3E0-28506DA25FA4}" name="Patrimonio Neto" dataDxfId="14"/>
    <tableColumn id="27" xr3:uid="{E54E90B8-818F-4603-B7A0-6929F7205196}" name="Flujo Efectivo" dataDxfId="13"/>
    <tableColumn id="26" xr3:uid="{BDB896AD-989F-479D-B057-2011206AB71A}" name="DETALLE 3" dataDxfId="12"/>
    <tableColumn id="29" xr3:uid="{93C158D5-C32E-45CC-824D-319ECC064EE8}" name="Lotes Nuevos" dataDxfId="11"/>
    <tableColumn id="49" xr3:uid="{083DE4A6-F473-4065-9263-ECE6DE635336}" name="ORDEN SERV" dataDxfId="10"/>
    <tableColumn id="48" xr3:uid="{360FB2BB-ADF2-4781-B609-05A9E85ACD22}" name="PROYECTO" dataDxfId="9"/>
    <tableColumn id="45" xr3:uid="{0B4F60B7-FDEB-438A-9205-DC7AFF04BC17}" name="PARTIDA" dataDxfId="8"/>
    <tableColumn id="36" xr3:uid="{976C9558-6469-4007-ACED-B3244FF0871A}" name="SOL" dataDxfId="7" dataCellStyle="Millares">
      <calculatedColumnFormula>+H2-J2</calculatedColumnFormula>
    </tableColumn>
    <tableColumn id="37" xr3:uid="{AFF607C9-94D4-48C8-A4B5-FCD7A7433877}" name="DOL" dataDxfId="6" dataCellStyle="Millares">
      <calculatedColumnFormula>+I2-K2</calculatedColumnFormula>
    </tableColumn>
    <tableColumn id="38" xr3:uid="{770127E1-A4DD-4A65-8A25-C8DC281823E6}" name="Rubro ER" dataDxfId="5"/>
    <tableColumn id="50" xr3:uid="{A6C056FF-2BF4-4FF9-A664-8990632A9F2E}" name="GF Descripcion" dataDxfId="4"/>
    <tableColumn id="51" xr3:uid="{58008D67-CDE3-49F5-8DB1-D696805DC608}" name="CC2" dataDxfId="3"/>
    <tableColumn id="52" xr3:uid="{A3C793F1-5CD7-4907-852D-A094F276EF15}" name="Gerencia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080D-7808-4C40-A5FF-FF45DED4D30E}">
  <sheetPr codeName="Hoja9"/>
  <dimension ref="A1:B21"/>
  <sheetViews>
    <sheetView showGridLines="0" workbookViewId="0">
      <selection activeCell="A23" sqref="A23"/>
    </sheetView>
  </sheetViews>
  <sheetFormatPr baseColWidth="10" defaultRowHeight="14.4" x14ac:dyDescent="0.3"/>
  <cols>
    <col min="1" max="1" width="35.33203125" bestFit="1" customWidth="1"/>
    <col min="2" max="2" width="54.33203125" bestFit="1" customWidth="1"/>
  </cols>
  <sheetData>
    <row r="1" spans="1:2" x14ac:dyDescent="0.3">
      <c r="A1" s="12" t="s">
        <v>199</v>
      </c>
      <c r="B1" s="12" t="s">
        <v>204</v>
      </c>
    </row>
    <row r="2" spans="1:2" x14ac:dyDescent="0.3">
      <c r="A2" s="15" t="s">
        <v>235</v>
      </c>
      <c r="B2" s="15" t="s">
        <v>205</v>
      </c>
    </row>
    <row r="3" spans="1:2" x14ac:dyDescent="0.3">
      <c r="A3" s="15" t="s">
        <v>235</v>
      </c>
      <c r="B3" s="15" t="s">
        <v>207</v>
      </c>
    </row>
    <row r="4" spans="1:2" x14ac:dyDescent="0.3">
      <c r="A4" s="15" t="s">
        <v>235</v>
      </c>
      <c r="B4" s="15" t="s">
        <v>210</v>
      </c>
    </row>
    <row r="5" spans="1:2" x14ac:dyDescent="0.3">
      <c r="A5" s="15" t="s">
        <v>235</v>
      </c>
      <c r="B5" s="15" t="s">
        <v>211</v>
      </c>
    </row>
    <row r="6" spans="1:2" x14ac:dyDescent="0.3">
      <c r="A6" s="15" t="s">
        <v>235</v>
      </c>
      <c r="B6" s="15" t="s">
        <v>206</v>
      </c>
    </row>
    <row r="7" spans="1:2" x14ac:dyDescent="0.3">
      <c r="A7" s="15" t="s">
        <v>235</v>
      </c>
      <c r="B7" s="15" t="s">
        <v>209</v>
      </c>
    </row>
    <row r="8" spans="1:2" x14ac:dyDescent="0.3">
      <c r="A8" s="15" t="s">
        <v>235</v>
      </c>
      <c r="B8" s="15" t="s">
        <v>208</v>
      </c>
    </row>
    <row r="9" spans="1:2" x14ac:dyDescent="0.3">
      <c r="A9" s="15" t="s">
        <v>235</v>
      </c>
      <c r="B9" s="15" t="s">
        <v>212</v>
      </c>
    </row>
    <row r="10" spans="1:2" x14ac:dyDescent="0.3">
      <c r="A10" s="13" t="s">
        <v>236</v>
      </c>
      <c r="B10" s="13" t="s">
        <v>521</v>
      </c>
    </row>
    <row r="11" spans="1:2" x14ac:dyDescent="0.3">
      <c r="A11" s="13" t="s">
        <v>236</v>
      </c>
      <c r="B11" s="13" t="s">
        <v>522</v>
      </c>
    </row>
    <row r="12" spans="1:2" x14ac:dyDescent="0.3">
      <c r="A12" s="13" t="s">
        <v>236</v>
      </c>
      <c r="B12" s="13" t="s">
        <v>547</v>
      </c>
    </row>
    <row r="13" spans="1:2" x14ac:dyDescent="0.3">
      <c r="A13" s="13" t="s">
        <v>236</v>
      </c>
      <c r="B13" s="13" t="s">
        <v>545</v>
      </c>
    </row>
    <row r="14" spans="1:2" x14ac:dyDescent="0.3">
      <c r="A14" s="13" t="s">
        <v>236</v>
      </c>
      <c r="B14" s="13" t="s">
        <v>548</v>
      </c>
    </row>
    <row r="15" spans="1:2" x14ac:dyDescent="0.3">
      <c r="A15" s="13" t="s">
        <v>236</v>
      </c>
      <c r="B15" s="13" t="s">
        <v>540</v>
      </c>
    </row>
    <row r="16" spans="1:2" x14ac:dyDescent="0.3">
      <c r="A16" s="13" t="s">
        <v>236</v>
      </c>
      <c r="B16" s="13" t="s">
        <v>523</v>
      </c>
    </row>
    <row r="17" spans="1:2" x14ac:dyDescent="0.3">
      <c r="A17" s="14" t="s">
        <v>237</v>
      </c>
      <c r="B17" s="14" t="s">
        <v>543</v>
      </c>
    </row>
    <row r="18" spans="1:2" x14ac:dyDescent="0.3">
      <c r="A18" s="14" t="s">
        <v>237</v>
      </c>
      <c r="B18" s="14" t="s">
        <v>546</v>
      </c>
    </row>
    <row r="19" spans="1:2" x14ac:dyDescent="0.3">
      <c r="A19" s="14" t="s">
        <v>237</v>
      </c>
      <c r="B19" s="14" t="s">
        <v>544</v>
      </c>
    </row>
    <row r="20" spans="1:2" x14ac:dyDescent="0.3">
      <c r="A20" s="14" t="s">
        <v>237</v>
      </c>
      <c r="B20" s="14" t="s">
        <v>541</v>
      </c>
    </row>
    <row r="21" spans="1:2" x14ac:dyDescent="0.3">
      <c r="A21" s="13" t="s">
        <v>238</v>
      </c>
      <c r="B21" s="13" t="s">
        <v>542</v>
      </c>
    </row>
  </sheetData>
  <autoFilter ref="B1" xr:uid="{E01B080D-7808-4C40-A5FF-FF45DED4D30E}"/>
  <sortState xmlns:xlrd2="http://schemas.microsoft.com/office/spreadsheetml/2017/richdata2" ref="A2:B21">
    <sortCondition ref="A2:A21"/>
    <sortCondition ref="B2:B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58071-5493-4867-98DC-789276039A67}">
  <sheetPr codeName="Hoja4">
    <tabColor theme="1"/>
  </sheetPr>
  <dimension ref="A1:AK383"/>
  <sheetViews>
    <sheetView showGridLines="0" zoomScaleNormal="100" workbookViewId="0">
      <pane ySplit="1" topLeftCell="A2" activePane="bottomLeft" state="frozen"/>
      <selection pane="bottomLeft" activeCell="D9" sqref="D9"/>
    </sheetView>
  </sheetViews>
  <sheetFormatPr baseColWidth="10" defaultRowHeight="14.4" outlineLevelCol="1" x14ac:dyDescent="0.3"/>
  <cols>
    <col min="1" max="1" width="11.5546875" customWidth="1"/>
    <col min="2" max="2" width="26.5546875" customWidth="1"/>
    <col min="3" max="3" width="10.5546875" style="7" bestFit="1" customWidth="1"/>
    <col min="4" max="4" width="11.6640625" customWidth="1"/>
    <col min="5" max="5" width="3.88671875" customWidth="1" outlineLevel="1"/>
    <col min="6" max="6" width="11.33203125" customWidth="1" outlineLevel="1"/>
    <col min="7" max="7" width="57.88671875" customWidth="1"/>
    <col min="8" max="8" width="9.88671875" customWidth="1" outlineLevel="1"/>
    <col min="9" max="9" width="10.88671875" customWidth="1" outlineLevel="1"/>
    <col min="10" max="10" width="11.44140625" customWidth="1" outlineLevel="1"/>
    <col min="11" max="11" width="10.6640625" customWidth="1" outlineLevel="1"/>
    <col min="12" max="12" width="13.33203125" customWidth="1"/>
    <col min="13" max="13" width="4.5546875" customWidth="1" outlineLevel="1"/>
    <col min="14" max="14" width="4.33203125" customWidth="1" outlineLevel="1"/>
    <col min="15" max="15" width="11.44140625" customWidth="1" outlineLevel="1"/>
    <col min="16" max="16" width="25.44140625" customWidth="1" outlineLevel="1"/>
    <col min="17" max="17" width="39.88671875" customWidth="1" outlineLevel="1"/>
    <col min="18" max="18" width="12.109375" customWidth="1" outlineLevel="1" collapsed="1"/>
    <col min="19" max="19" width="27.109375" customWidth="1"/>
    <col min="20" max="20" width="11.33203125" customWidth="1" outlineLevel="1"/>
    <col min="21" max="21" width="9.33203125" customWidth="1"/>
    <col min="22" max="22" width="13.109375" customWidth="1"/>
    <col min="23" max="23" width="21" customWidth="1"/>
    <col min="24" max="24" width="16.109375" customWidth="1"/>
    <col min="26" max="26" width="16.33203125" customWidth="1"/>
    <col min="27" max="27" width="19.5546875" customWidth="1"/>
    <col min="28" max="31" width="13.109375" customWidth="1"/>
    <col min="32" max="32" width="9.109375" bestFit="1" customWidth="1"/>
    <col min="33" max="33" width="11.44140625" style="4"/>
    <col min="34" max="34" width="29.88671875" style="4" bestFit="1" customWidth="1"/>
    <col min="36" max="36" width="6.6640625" bestFit="1" customWidth="1"/>
  </cols>
  <sheetData>
    <row r="1" spans="1:37" ht="15.6" x14ac:dyDescent="0.3">
      <c r="A1" s="1" t="s">
        <v>0</v>
      </c>
      <c r="B1" s="1" t="s">
        <v>1</v>
      </c>
      <c r="C1" s="6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26</v>
      </c>
      <c r="Z1" s="1" t="s">
        <v>25</v>
      </c>
      <c r="AA1" s="1" t="s">
        <v>24</v>
      </c>
      <c r="AB1" s="1" t="s">
        <v>27</v>
      </c>
      <c r="AC1" s="1" t="s">
        <v>189</v>
      </c>
      <c r="AD1" s="1" t="s">
        <v>190</v>
      </c>
      <c r="AE1" s="1" t="s">
        <v>191</v>
      </c>
      <c r="AF1" s="2" t="s">
        <v>186</v>
      </c>
      <c r="AG1" s="2" t="s">
        <v>187</v>
      </c>
      <c r="AH1" s="1" t="s">
        <v>183</v>
      </c>
      <c r="AI1" s="10" t="s">
        <v>203</v>
      </c>
      <c r="AJ1" s="10" t="s">
        <v>204</v>
      </c>
      <c r="AK1" s="10" t="s">
        <v>199</v>
      </c>
    </row>
    <row r="2" spans="1:37" x14ac:dyDescent="0.3">
      <c r="A2" s="8" t="s">
        <v>83</v>
      </c>
      <c r="B2" s="8" t="s">
        <v>84</v>
      </c>
      <c r="C2" s="7">
        <v>45292</v>
      </c>
      <c r="D2" s="8" t="s">
        <v>243</v>
      </c>
      <c r="E2" s="8" t="s">
        <v>549</v>
      </c>
      <c r="F2" s="8" t="s">
        <v>549</v>
      </c>
      <c r="G2" s="8" t="s">
        <v>550</v>
      </c>
      <c r="H2" s="9">
        <v>156</v>
      </c>
      <c r="I2" s="9">
        <v>45.14</v>
      </c>
      <c r="L2" s="8" t="s">
        <v>76</v>
      </c>
      <c r="M2" s="8" t="s">
        <v>34</v>
      </c>
      <c r="N2" s="8" t="s">
        <v>41</v>
      </c>
      <c r="O2" s="8" t="s">
        <v>14</v>
      </c>
      <c r="P2" s="8" t="s">
        <v>42</v>
      </c>
      <c r="Q2" s="8" t="s">
        <v>549</v>
      </c>
      <c r="R2" s="8" t="s">
        <v>33</v>
      </c>
      <c r="S2" s="8" t="s">
        <v>530</v>
      </c>
      <c r="T2" s="8" t="s">
        <v>80</v>
      </c>
      <c r="U2" s="8" t="s">
        <v>32</v>
      </c>
      <c r="V2" s="8" t="s">
        <v>32</v>
      </c>
      <c r="W2" s="8" t="s">
        <v>33</v>
      </c>
      <c r="X2" s="8" t="s">
        <v>33</v>
      </c>
      <c r="Y2" s="8" t="s">
        <v>33</v>
      </c>
      <c r="Z2" s="8" t="s">
        <v>33</v>
      </c>
      <c r="AA2" s="8" t="s">
        <v>33</v>
      </c>
      <c r="AB2" s="8" t="s">
        <v>32</v>
      </c>
      <c r="AC2" s="8" t="s">
        <v>33</v>
      </c>
      <c r="AD2" s="8" t="s">
        <v>32</v>
      </c>
      <c r="AE2" s="8" t="s">
        <v>32</v>
      </c>
      <c r="AF2" s="4">
        <f t="shared" ref="AF2:AF65" si="0">+H2-J2</f>
        <v>156</v>
      </c>
      <c r="AG2" s="4">
        <f t="shared" ref="AG2:AG65" si="1">+I2-K2</f>
        <v>45.14</v>
      </c>
      <c r="AH2" s="5" t="s">
        <v>185</v>
      </c>
      <c r="AI2" s="11" t="s">
        <v>213</v>
      </c>
      <c r="AJ2" s="11" t="s">
        <v>205</v>
      </c>
      <c r="AK2" s="11" t="s">
        <v>235</v>
      </c>
    </row>
    <row r="3" spans="1:37" x14ac:dyDescent="0.3">
      <c r="A3" s="8" t="s">
        <v>146</v>
      </c>
      <c r="B3" s="8" t="s">
        <v>147</v>
      </c>
      <c r="C3" s="7">
        <v>45292</v>
      </c>
      <c r="D3" s="8" t="s">
        <v>244</v>
      </c>
      <c r="E3" s="8" t="s">
        <v>549</v>
      </c>
      <c r="F3" s="8" t="s">
        <v>549</v>
      </c>
      <c r="G3" s="8" t="s">
        <v>550</v>
      </c>
      <c r="H3" s="9">
        <v>7340</v>
      </c>
      <c r="I3" s="9">
        <v>2123.84</v>
      </c>
      <c r="L3" s="8" t="s">
        <v>93</v>
      </c>
      <c r="M3" s="8" t="s">
        <v>38</v>
      </c>
      <c r="N3" s="8" t="s">
        <v>29</v>
      </c>
      <c r="O3" s="8" t="s">
        <v>14</v>
      </c>
      <c r="P3" s="8" t="s">
        <v>30</v>
      </c>
      <c r="Q3" s="8" t="s">
        <v>549</v>
      </c>
      <c r="R3" s="8" t="s">
        <v>33</v>
      </c>
      <c r="S3" s="8" t="s">
        <v>530</v>
      </c>
      <c r="T3" s="8" t="s">
        <v>31</v>
      </c>
      <c r="U3" s="8" t="s">
        <v>32</v>
      </c>
      <c r="V3" s="8" t="s">
        <v>32</v>
      </c>
      <c r="W3" s="8" t="s">
        <v>33</v>
      </c>
      <c r="X3" s="8" t="s">
        <v>33</v>
      </c>
      <c r="Y3" s="8" t="s">
        <v>33</v>
      </c>
      <c r="Z3" s="8" t="s">
        <v>33</v>
      </c>
      <c r="AA3" s="8" t="s">
        <v>33</v>
      </c>
      <c r="AB3" s="8" t="s">
        <v>32</v>
      </c>
      <c r="AC3" s="8" t="s">
        <v>33</v>
      </c>
      <c r="AD3" s="8" t="s">
        <v>32</v>
      </c>
      <c r="AE3" s="8" t="s">
        <v>32</v>
      </c>
      <c r="AF3" s="4">
        <f t="shared" si="0"/>
        <v>7340</v>
      </c>
      <c r="AG3" s="4">
        <f t="shared" si="1"/>
        <v>2123.84</v>
      </c>
      <c r="AH3" s="5" t="s">
        <v>185</v>
      </c>
      <c r="AI3" s="11" t="s">
        <v>214</v>
      </c>
      <c r="AJ3" s="11" t="s">
        <v>206</v>
      </c>
      <c r="AK3" s="11" t="s">
        <v>235</v>
      </c>
    </row>
    <row r="4" spans="1:37" x14ac:dyDescent="0.3">
      <c r="A4" s="8" t="s">
        <v>160</v>
      </c>
      <c r="B4" s="8" t="s">
        <v>161</v>
      </c>
      <c r="C4" s="7">
        <v>45292</v>
      </c>
      <c r="D4" s="8" t="s">
        <v>245</v>
      </c>
      <c r="E4" s="8" t="s">
        <v>549</v>
      </c>
      <c r="F4" s="8" t="s">
        <v>549</v>
      </c>
      <c r="G4" s="8" t="s">
        <v>550</v>
      </c>
      <c r="H4" s="9">
        <v>42</v>
      </c>
      <c r="I4" s="9">
        <v>12.15</v>
      </c>
      <c r="L4" s="8" t="s">
        <v>89</v>
      </c>
      <c r="M4" s="8" t="s">
        <v>34</v>
      </c>
      <c r="N4" s="8" t="s">
        <v>29</v>
      </c>
      <c r="O4" s="8" t="s">
        <v>14</v>
      </c>
      <c r="P4" s="8" t="s">
        <v>30</v>
      </c>
      <c r="Q4" s="8" t="s">
        <v>549</v>
      </c>
      <c r="R4" s="8" t="s">
        <v>33</v>
      </c>
      <c r="S4" s="8" t="s">
        <v>530</v>
      </c>
      <c r="T4" s="8" t="s">
        <v>31</v>
      </c>
      <c r="U4" s="8" t="s">
        <v>32</v>
      </c>
      <c r="V4" s="8" t="s">
        <v>32</v>
      </c>
      <c r="W4" s="8" t="s">
        <v>33</v>
      </c>
      <c r="X4" s="8" t="s">
        <v>33</v>
      </c>
      <c r="Y4" s="8" t="s">
        <v>33</v>
      </c>
      <c r="Z4" s="8" t="s">
        <v>33</v>
      </c>
      <c r="AA4" s="8" t="s">
        <v>33</v>
      </c>
      <c r="AB4" s="8" t="s">
        <v>32</v>
      </c>
      <c r="AC4" s="8" t="s">
        <v>33</v>
      </c>
      <c r="AD4" s="8" t="s">
        <v>32</v>
      </c>
      <c r="AE4" s="8" t="s">
        <v>32</v>
      </c>
      <c r="AF4" s="4">
        <f t="shared" si="0"/>
        <v>42</v>
      </c>
      <c r="AG4" s="4">
        <f t="shared" si="1"/>
        <v>12.15</v>
      </c>
      <c r="AH4" s="5" t="s">
        <v>185</v>
      </c>
      <c r="AI4" s="11" t="s">
        <v>216</v>
      </c>
      <c r="AJ4" s="11" t="s">
        <v>208</v>
      </c>
      <c r="AK4" s="11" t="s">
        <v>235</v>
      </c>
    </row>
    <row r="5" spans="1:37" x14ac:dyDescent="0.3">
      <c r="A5" s="8" t="s">
        <v>160</v>
      </c>
      <c r="B5" s="8" t="s">
        <v>161</v>
      </c>
      <c r="C5" s="7">
        <v>45292</v>
      </c>
      <c r="D5" s="8" t="s">
        <v>245</v>
      </c>
      <c r="E5" s="8" t="s">
        <v>549</v>
      </c>
      <c r="F5" s="8" t="s">
        <v>549</v>
      </c>
      <c r="G5" s="8" t="s">
        <v>550</v>
      </c>
      <c r="H5" s="9">
        <v>5955</v>
      </c>
      <c r="I5" s="9">
        <v>1723.09</v>
      </c>
      <c r="L5" s="8" t="s">
        <v>89</v>
      </c>
      <c r="M5" s="8" t="s">
        <v>38</v>
      </c>
      <c r="N5" s="8" t="s">
        <v>29</v>
      </c>
      <c r="O5" s="8" t="s">
        <v>14</v>
      </c>
      <c r="P5" s="8" t="s">
        <v>30</v>
      </c>
      <c r="Q5" s="8" t="s">
        <v>549</v>
      </c>
      <c r="R5" s="8" t="s">
        <v>33</v>
      </c>
      <c r="S5" s="8" t="s">
        <v>530</v>
      </c>
      <c r="T5" s="8" t="s">
        <v>31</v>
      </c>
      <c r="U5" s="8" t="s">
        <v>32</v>
      </c>
      <c r="V5" s="8" t="s">
        <v>32</v>
      </c>
      <c r="W5" s="8" t="s">
        <v>33</v>
      </c>
      <c r="X5" s="8" t="s">
        <v>33</v>
      </c>
      <c r="Y5" s="8" t="s">
        <v>33</v>
      </c>
      <c r="Z5" s="8" t="s">
        <v>33</v>
      </c>
      <c r="AA5" s="8" t="s">
        <v>33</v>
      </c>
      <c r="AB5" s="8" t="s">
        <v>32</v>
      </c>
      <c r="AC5" s="8" t="s">
        <v>33</v>
      </c>
      <c r="AD5" s="8" t="s">
        <v>32</v>
      </c>
      <c r="AE5" s="8" t="s">
        <v>32</v>
      </c>
      <c r="AF5" s="4">
        <f t="shared" si="0"/>
        <v>5955</v>
      </c>
      <c r="AG5" s="4">
        <f t="shared" si="1"/>
        <v>1723.09</v>
      </c>
      <c r="AH5" s="5" t="s">
        <v>185</v>
      </c>
      <c r="AI5" s="11" t="s">
        <v>216</v>
      </c>
      <c r="AJ5" s="11" t="s">
        <v>208</v>
      </c>
      <c r="AK5" s="11" t="s">
        <v>235</v>
      </c>
    </row>
    <row r="6" spans="1:37" x14ac:dyDescent="0.3">
      <c r="A6" s="8" t="s">
        <v>160</v>
      </c>
      <c r="B6" s="8" t="s">
        <v>161</v>
      </c>
      <c r="C6" s="7">
        <v>45292</v>
      </c>
      <c r="D6" s="8" t="s">
        <v>245</v>
      </c>
      <c r="E6" s="8" t="s">
        <v>549</v>
      </c>
      <c r="F6" s="8" t="s">
        <v>549</v>
      </c>
      <c r="G6" s="8" t="s">
        <v>550</v>
      </c>
      <c r="H6" s="9">
        <v>1637</v>
      </c>
      <c r="I6" s="9">
        <v>473.67</v>
      </c>
      <c r="L6" s="8" t="s">
        <v>89</v>
      </c>
      <c r="M6" s="8" t="s">
        <v>39</v>
      </c>
      <c r="N6" s="8" t="s">
        <v>29</v>
      </c>
      <c r="O6" s="8" t="s">
        <v>14</v>
      </c>
      <c r="P6" s="8" t="s">
        <v>30</v>
      </c>
      <c r="Q6" s="8" t="s">
        <v>549</v>
      </c>
      <c r="R6" s="8" t="s">
        <v>33</v>
      </c>
      <c r="S6" s="8" t="s">
        <v>530</v>
      </c>
      <c r="T6" s="8" t="s">
        <v>31</v>
      </c>
      <c r="U6" s="8" t="s">
        <v>32</v>
      </c>
      <c r="V6" s="8" t="s">
        <v>32</v>
      </c>
      <c r="W6" s="8" t="s">
        <v>33</v>
      </c>
      <c r="X6" s="8" t="s">
        <v>33</v>
      </c>
      <c r="Y6" s="8" t="s">
        <v>33</v>
      </c>
      <c r="Z6" s="8" t="s">
        <v>33</v>
      </c>
      <c r="AA6" s="8" t="s">
        <v>33</v>
      </c>
      <c r="AB6" s="8" t="s">
        <v>32</v>
      </c>
      <c r="AC6" s="8" t="s">
        <v>33</v>
      </c>
      <c r="AD6" s="8" t="s">
        <v>32</v>
      </c>
      <c r="AE6" s="8" t="s">
        <v>32</v>
      </c>
      <c r="AF6" s="4">
        <f t="shared" si="0"/>
        <v>1637</v>
      </c>
      <c r="AG6" s="4">
        <f t="shared" si="1"/>
        <v>473.67</v>
      </c>
      <c r="AH6" s="5" t="s">
        <v>185</v>
      </c>
      <c r="AI6" s="11" t="s">
        <v>216</v>
      </c>
      <c r="AJ6" s="11" t="s">
        <v>208</v>
      </c>
      <c r="AK6" s="11" t="s">
        <v>235</v>
      </c>
    </row>
    <row r="7" spans="1:37" x14ac:dyDescent="0.3">
      <c r="A7" s="8" t="s">
        <v>160</v>
      </c>
      <c r="B7" s="8" t="s">
        <v>161</v>
      </c>
      <c r="C7" s="7">
        <v>45292</v>
      </c>
      <c r="D7" s="8" t="s">
        <v>245</v>
      </c>
      <c r="E7" s="8" t="s">
        <v>549</v>
      </c>
      <c r="F7" s="8" t="s">
        <v>549</v>
      </c>
      <c r="G7" s="8" t="s">
        <v>550</v>
      </c>
      <c r="H7" s="9">
        <v>1112</v>
      </c>
      <c r="I7" s="9">
        <v>321.76</v>
      </c>
      <c r="L7" s="8" t="s">
        <v>89</v>
      </c>
      <c r="M7" s="8" t="s">
        <v>43</v>
      </c>
      <c r="N7" s="8" t="s">
        <v>29</v>
      </c>
      <c r="O7" s="8" t="s">
        <v>14</v>
      </c>
      <c r="P7" s="8" t="s">
        <v>30</v>
      </c>
      <c r="Q7" s="8" t="s">
        <v>549</v>
      </c>
      <c r="R7" s="8" t="s">
        <v>33</v>
      </c>
      <c r="S7" s="8" t="s">
        <v>530</v>
      </c>
      <c r="T7" s="8" t="s">
        <v>31</v>
      </c>
      <c r="U7" s="8" t="s">
        <v>32</v>
      </c>
      <c r="V7" s="8" t="s">
        <v>32</v>
      </c>
      <c r="W7" s="8" t="s">
        <v>33</v>
      </c>
      <c r="X7" s="8" t="s">
        <v>33</v>
      </c>
      <c r="Y7" s="8" t="s">
        <v>33</v>
      </c>
      <c r="Z7" s="8" t="s">
        <v>33</v>
      </c>
      <c r="AA7" s="8" t="s">
        <v>33</v>
      </c>
      <c r="AB7" s="8" t="s">
        <v>32</v>
      </c>
      <c r="AC7" s="8" t="s">
        <v>33</v>
      </c>
      <c r="AD7" s="8" t="s">
        <v>32</v>
      </c>
      <c r="AE7" s="8" t="s">
        <v>32</v>
      </c>
      <c r="AF7" s="4">
        <f t="shared" si="0"/>
        <v>1112</v>
      </c>
      <c r="AG7" s="4">
        <f t="shared" si="1"/>
        <v>321.76</v>
      </c>
      <c r="AH7" s="5" t="s">
        <v>185</v>
      </c>
      <c r="AI7" s="11" t="s">
        <v>216</v>
      </c>
      <c r="AJ7" s="11" t="s">
        <v>208</v>
      </c>
      <c r="AK7" s="11" t="s">
        <v>235</v>
      </c>
    </row>
    <row r="8" spans="1:37" x14ac:dyDescent="0.3">
      <c r="A8" s="8" t="s">
        <v>160</v>
      </c>
      <c r="B8" s="8" t="s">
        <v>161</v>
      </c>
      <c r="C8" s="7">
        <v>45292</v>
      </c>
      <c r="D8" s="8" t="s">
        <v>245</v>
      </c>
      <c r="E8" s="8" t="s">
        <v>549</v>
      </c>
      <c r="F8" s="8" t="s">
        <v>549</v>
      </c>
      <c r="G8" s="8" t="s">
        <v>550</v>
      </c>
      <c r="H8" s="9">
        <v>13</v>
      </c>
      <c r="I8" s="9">
        <v>3.76</v>
      </c>
      <c r="L8" s="8" t="s">
        <v>89</v>
      </c>
      <c r="M8" s="8" t="s">
        <v>44</v>
      </c>
      <c r="N8" s="8" t="s">
        <v>29</v>
      </c>
      <c r="O8" s="8" t="s">
        <v>14</v>
      </c>
      <c r="P8" s="8" t="s">
        <v>30</v>
      </c>
      <c r="Q8" s="8" t="s">
        <v>549</v>
      </c>
      <c r="R8" s="8" t="s">
        <v>33</v>
      </c>
      <c r="S8" s="8" t="s">
        <v>530</v>
      </c>
      <c r="T8" s="8" t="s">
        <v>31</v>
      </c>
      <c r="U8" s="8" t="s">
        <v>32</v>
      </c>
      <c r="V8" s="8" t="s">
        <v>32</v>
      </c>
      <c r="W8" s="8" t="s">
        <v>33</v>
      </c>
      <c r="X8" s="8" t="s">
        <v>33</v>
      </c>
      <c r="Y8" s="8" t="s">
        <v>33</v>
      </c>
      <c r="Z8" s="8" t="s">
        <v>33</v>
      </c>
      <c r="AA8" s="8" t="s">
        <v>33</v>
      </c>
      <c r="AB8" s="8" t="s">
        <v>32</v>
      </c>
      <c r="AC8" s="8" t="s">
        <v>33</v>
      </c>
      <c r="AD8" s="8" t="s">
        <v>32</v>
      </c>
      <c r="AE8" s="8" t="s">
        <v>32</v>
      </c>
      <c r="AF8" s="4">
        <f t="shared" si="0"/>
        <v>13</v>
      </c>
      <c r="AG8" s="4">
        <f t="shared" si="1"/>
        <v>3.76</v>
      </c>
      <c r="AH8" s="5" t="s">
        <v>185</v>
      </c>
      <c r="AI8" s="11" t="s">
        <v>216</v>
      </c>
      <c r="AJ8" s="11" t="s">
        <v>208</v>
      </c>
      <c r="AK8" s="11" t="s">
        <v>235</v>
      </c>
    </row>
    <row r="9" spans="1:37" x14ac:dyDescent="0.3">
      <c r="A9" s="8" t="s">
        <v>83</v>
      </c>
      <c r="B9" s="8" t="s">
        <v>84</v>
      </c>
      <c r="C9" s="7">
        <v>45293</v>
      </c>
      <c r="D9" s="8" t="s">
        <v>246</v>
      </c>
      <c r="E9" s="8" t="s">
        <v>549</v>
      </c>
      <c r="F9" s="8" t="s">
        <v>549</v>
      </c>
      <c r="G9" s="8" t="s">
        <v>550</v>
      </c>
      <c r="H9" s="9">
        <v>6239</v>
      </c>
      <c r="I9" s="9">
        <v>1805.27</v>
      </c>
      <c r="L9" s="8" t="s">
        <v>105</v>
      </c>
      <c r="M9" s="8" t="s">
        <v>34</v>
      </c>
      <c r="N9" s="8" t="s">
        <v>41</v>
      </c>
      <c r="O9" s="8" t="s">
        <v>14</v>
      </c>
      <c r="P9" s="8" t="s">
        <v>42</v>
      </c>
      <c r="Q9" s="8" t="s">
        <v>549</v>
      </c>
      <c r="R9" s="8" t="s">
        <v>33</v>
      </c>
      <c r="S9" s="8" t="s">
        <v>530</v>
      </c>
      <c r="T9" s="8" t="s">
        <v>80</v>
      </c>
      <c r="U9" s="8" t="s">
        <v>32</v>
      </c>
      <c r="V9" s="8" t="s">
        <v>32</v>
      </c>
      <c r="W9" s="8" t="s">
        <v>33</v>
      </c>
      <c r="X9" s="8" t="s">
        <v>33</v>
      </c>
      <c r="Y9" s="8" t="s">
        <v>33</v>
      </c>
      <c r="Z9" s="8" t="s">
        <v>33</v>
      </c>
      <c r="AA9" s="8" t="s">
        <v>33</v>
      </c>
      <c r="AB9" s="8" t="s">
        <v>32</v>
      </c>
      <c r="AC9" s="8" t="s">
        <v>33</v>
      </c>
      <c r="AD9" s="8" t="s">
        <v>32</v>
      </c>
      <c r="AE9" s="8" t="s">
        <v>32</v>
      </c>
      <c r="AF9" s="4">
        <f t="shared" si="0"/>
        <v>6239</v>
      </c>
      <c r="AG9" s="4">
        <f t="shared" si="1"/>
        <v>1805.27</v>
      </c>
      <c r="AH9" s="5" t="s">
        <v>185</v>
      </c>
      <c r="AI9" s="11" t="s">
        <v>213</v>
      </c>
      <c r="AJ9" s="11" t="s">
        <v>209</v>
      </c>
      <c r="AK9" s="11" t="s">
        <v>235</v>
      </c>
    </row>
    <row r="10" spans="1:37" x14ac:dyDescent="0.3">
      <c r="A10" s="8" t="s">
        <v>83</v>
      </c>
      <c r="B10" s="8" t="s">
        <v>84</v>
      </c>
      <c r="C10" s="7">
        <v>45293</v>
      </c>
      <c r="D10" s="8" t="s">
        <v>247</v>
      </c>
      <c r="E10" s="8" t="s">
        <v>549</v>
      </c>
      <c r="F10" s="8" t="s">
        <v>549</v>
      </c>
      <c r="G10" s="8" t="s">
        <v>550</v>
      </c>
      <c r="H10" s="9">
        <v>2447</v>
      </c>
      <c r="I10" s="9">
        <v>708.04</v>
      </c>
      <c r="L10" s="8" t="s">
        <v>105</v>
      </c>
      <c r="M10" s="8" t="s">
        <v>34</v>
      </c>
      <c r="N10" s="8" t="s">
        <v>41</v>
      </c>
      <c r="O10" s="8" t="s">
        <v>14</v>
      </c>
      <c r="P10" s="8" t="s">
        <v>42</v>
      </c>
      <c r="Q10" s="8" t="s">
        <v>549</v>
      </c>
      <c r="R10" s="8" t="s">
        <v>33</v>
      </c>
      <c r="S10" s="8" t="s">
        <v>530</v>
      </c>
      <c r="T10" s="8" t="s">
        <v>80</v>
      </c>
      <c r="U10" s="8" t="s">
        <v>32</v>
      </c>
      <c r="V10" s="8" t="s">
        <v>32</v>
      </c>
      <c r="W10" s="8" t="s">
        <v>33</v>
      </c>
      <c r="X10" s="8" t="s">
        <v>33</v>
      </c>
      <c r="Y10" s="8" t="s">
        <v>33</v>
      </c>
      <c r="Z10" s="8" t="s">
        <v>33</v>
      </c>
      <c r="AA10" s="8" t="s">
        <v>33</v>
      </c>
      <c r="AB10" s="8" t="s">
        <v>32</v>
      </c>
      <c r="AC10" s="8" t="s">
        <v>33</v>
      </c>
      <c r="AD10" s="8" t="s">
        <v>32</v>
      </c>
      <c r="AE10" s="8" t="s">
        <v>32</v>
      </c>
      <c r="AF10" s="4">
        <f t="shared" si="0"/>
        <v>2447</v>
      </c>
      <c r="AG10" s="4">
        <f t="shared" si="1"/>
        <v>708.04</v>
      </c>
      <c r="AH10" s="5" t="s">
        <v>185</v>
      </c>
      <c r="AI10" s="11" t="s">
        <v>213</v>
      </c>
      <c r="AJ10" s="11" t="s">
        <v>209</v>
      </c>
      <c r="AK10" s="11" t="s">
        <v>235</v>
      </c>
    </row>
    <row r="11" spans="1:37" x14ac:dyDescent="0.3">
      <c r="A11" s="8" t="s">
        <v>83</v>
      </c>
      <c r="B11" s="8" t="s">
        <v>84</v>
      </c>
      <c r="C11" s="7">
        <v>45293</v>
      </c>
      <c r="D11" s="8" t="s">
        <v>248</v>
      </c>
      <c r="E11" s="8" t="s">
        <v>549</v>
      </c>
      <c r="F11" s="8" t="s">
        <v>549</v>
      </c>
      <c r="G11" s="8" t="s">
        <v>550</v>
      </c>
      <c r="H11" s="9">
        <v>4456</v>
      </c>
      <c r="I11" s="9">
        <v>1289.3499999999999</v>
      </c>
      <c r="L11" s="8" t="s">
        <v>76</v>
      </c>
      <c r="M11" s="8" t="s">
        <v>34</v>
      </c>
      <c r="N11" s="8" t="s">
        <v>41</v>
      </c>
      <c r="O11" s="8" t="s">
        <v>14</v>
      </c>
      <c r="P11" s="8" t="s">
        <v>42</v>
      </c>
      <c r="Q11" s="8" t="s">
        <v>549</v>
      </c>
      <c r="R11" s="8" t="s">
        <v>33</v>
      </c>
      <c r="S11" s="8" t="s">
        <v>530</v>
      </c>
      <c r="T11" s="8" t="s">
        <v>80</v>
      </c>
      <c r="U11" s="8" t="s">
        <v>32</v>
      </c>
      <c r="V11" s="8" t="s">
        <v>32</v>
      </c>
      <c r="W11" s="8" t="s">
        <v>33</v>
      </c>
      <c r="X11" s="8" t="s">
        <v>33</v>
      </c>
      <c r="Y11" s="8" t="s">
        <v>33</v>
      </c>
      <c r="Z11" s="8" t="s">
        <v>33</v>
      </c>
      <c r="AA11" s="8" t="s">
        <v>33</v>
      </c>
      <c r="AB11" s="8" t="s">
        <v>32</v>
      </c>
      <c r="AC11" s="8" t="s">
        <v>33</v>
      </c>
      <c r="AD11" s="8" t="s">
        <v>32</v>
      </c>
      <c r="AE11" s="8" t="s">
        <v>32</v>
      </c>
      <c r="AF11" s="4">
        <f t="shared" si="0"/>
        <v>4456</v>
      </c>
      <c r="AG11" s="4">
        <f t="shared" si="1"/>
        <v>1289.3499999999999</v>
      </c>
      <c r="AH11" s="5" t="s">
        <v>185</v>
      </c>
      <c r="AI11" s="11" t="s">
        <v>213</v>
      </c>
      <c r="AJ11" s="11" t="s">
        <v>205</v>
      </c>
      <c r="AK11" s="11" t="s">
        <v>235</v>
      </c>
    </row>
    <row r="12" spans="1:37" x14ac:dyDescent="0.3">
      <c r="A12" s="8" t="s">
        <v>83</v>
      </c>
      <c r="B12" s="8" t="s">
        <v>84</v>
      </c>
      <c r="C12" s="7">
        <v>45293</v>
      </c>
      <c r="D12" s="8" t="s">
        <v>249</v>
      </c>
      <c r="E12" s="8" t="s">
        <v>549</v>
      </c>
      <c r="F12" s="8" t="s">
        <v>549</v>
      </c>
      <c r="G12" s="8" t="s">
        <v>550</v>
      </c>
      <c r="H12" s="9">
        <v>2855</v>
      </c>
      <c r="I12" s="9">
        <v>826.1</v>
      </c>
      <c r="L12" s="8" t="s">
        <v>76</v>
      </c>
      <c r="M12" s="8" t="s">
        <v>34</v>
      </c>
      <c r="N12" s="8" t="s">
        <v>41</v>
      </c>
      <c r="O12" s="8" t="s">
        <v>14</v>
      </c>
      <c r="P12" s="8" t="s">
        <v>42</v>
      </c>
      <c r="Q12" s="8" t="s">
        <v>549</v>
      </c>
      <c r="R12" s="8" t="s">
        <v>33</v>
      </c>
      <c r="S12" s="8" t="s">
        <v>530</v>
      </c>
      <c r="T12" s="8" t="s">
        <v>80</v>
      </c>
      <c r="U12" s="8" t="s">
        <v>32</v>
      </c>
      <c r="V12" s="8" t="s">
        <v>32</v>
      </c>
      <c r="W12" s="8" t="s">
        <v>33</v>
      </c>
      <c r="X12" s="8" t="s">
        <v>33</v>
      </c>
      <c r="Y12" s="8" t="s">
        <v>33</v>
      </c>
      <c r="Z12" s="8" t="s">
        <v>33</v>
      </c>
      <c r="AA12" s="8" t="s">
        <v>33</v>
      </c>
      <c r="AB12" s="8" t="s">
        <v>32</v>
      </c>
      <c r="AC12" s="8" t="s">
        <v>33</v>
      </c>
      <c r="AD12" s="8" t="s">
        <v>32</v>
      </c>
      <c r="AE12" s="8" t="s">
        <v>32</v>
      </c>
      <c r="AF12" s="4">
        <f t="shared" si="0"/>
        <v>2855</v>
      </c>
      <c r="AG12" s="4">
        <f t="shared" si="1"/>
        <v>826.1</v>
      </c>
      <c r="AH12" s="5" t="s">
        <v>185</v>
      </c>
      <c r="AI12" s="11" t="s">
        <v>213</v>
      </c>
      <c r="AJ12" s="11" t="s">
        <v>205</v>
      </c>
      <c r="AK12" s="11" t="s">
        <v>235</v>
      </c>
    </row>
    <row r="13" spans="1:37" x14ac:dyDescent="0.3">
      <c r="A13" s="8" t="s">
        <v>83</v>
      </c>
      <c r="B13" s="8" t="s">
        <v>84</v>
      </c>
      <c r="C13" s="7">
        <v>45293</v>
      </c>
      <c r="D13" s="8" t="s">
        <v>250</v>
      </c>
      <c r="E13" s="8" t="s">
        <v>549</v>
      </c>
      <c r="F13" s="8" t="s">
        <v>549</v>
      </c>
      <c r="G13" s="8" t="s">
        <v>550</v>
      </c>
      <c r="H13" s="9">
        <v>8371</v>
      </c>
      <c r="I13" s="9">
        <v>2422.16</v>
      </c>
      <c r="L13" s="8" t="s">
        <v>105</v>
      </c>
      <c r="M13" s="8" t="s">
        <v>34</v>
      </c>
      <c r="N13" s="8" t="s">
        <v>41</v>
      </c>
      <c r="O13" s="8" t="s">
        <v>14</v>
      </c>
      <c r="P13" s="8" t="s">
        <v>42</v>
      </c>
      <c r="Q13" s="8" t="s">
        <v>549</v>
      </c>
      <c r="R13" s="8" t="s">
        <v>33</v>
      </c>
      <c r="S13" s="8" t="s">
        <v>530</v>
      </c>
      <c r="T13" s="8" t="s">
        <v>80</v>
      </c>
      <c r="U13" s="8" t="s">
        <v>32</v>
      </c>
      <c r="V13" s="8" t="s">
        <v>32</v>
      </c>
      <c r="W13" s="8" t="s">
        <v>33</v>
      </c>
      <c r="X13" s="8" t="s">
        <v>33</v>
      </c>
      <c r="Y13" s="8" t="s">
        <v>33</v>
      </c>
      <c r="Z13" s="8" t="s">
        <v>33</v>
      </c>
      <c r="AA13" s="8" t="s">
        <v>33</v>
      </c>
      <c r="AB13" s="8" t="s">
        <v>32</v>
      </c>
      <c r="AC13" s="8" t="s">
        <v>33</v>
      </c>
      <c r="AD13" s="8" t="s">
        <v>32</v>
      </c>
      <c r="AE13" s="8" t="s">
        <v>32</v>
      </c>
      <c r="AF13" s="4">
        <f t="shared" si="0"/>
        <v>8371</v>
      </c>
      <c r="AG13" s="4">
        <f t="shared" si="1"/>
        <v>2422.16</v>
      </c>
      <c r="AH13" s="5" t="s">
        <v>185</v>
      </c>
      <c r="AI13" s="11" t="s">
        <v>213</v>
      </c>
      <c r="AJ13" s="11" t="s">
        <v>209</v>
      </c>
      <c r="AK13" s="11" t="s">
        <v>235</v>
      </c>
    </row>
    <row r="14" spans="1:37" x14ac:dyDescent="0.3">
      <c r="A14" s="8" t="s">
        <v>168</v>
      </c>
      <c r="B14" s="8" t="s">
        <v>169</v>
      </c>
      <c r="C14" s="7">
        <v>45293</v>
      </c>
      <c r="D14" s="8" t="s">
        <v>251</v>
      </c>
      <c r="E14" s="8" t="s">
        <v>549</v>
      </c>
      <c r="F14" s="8" t="s">
        <v>549</v>
      </c>
      <c r="G14" s="8" t="s">
        <v>550</v>
      </c>
      <c r="H14" s="9">
        <v>417</v>
      </c>
      <c r="I14" s="9">
        <v>120.66</v>
      </c>
      <c r="L14" s="8" t="s">
        <v>106</v>
      </c>
      <c r="M14" s="8" t="s">
        <v>28</v>
      </c>
      <c r="N14" s="8" t="s">
        <v>35</v>
      </c>
      <c r="O14" s="8" t="s">
        <v>14</v>
      </c>
      <c r="P14" s="8" t="s">
        <v>36</v>
      </c>
      <c r="Q14" s="8" t="s">
        <v>549</v>
      </c>
      <c r="R14" s="8" t="s">
        <v>33</v>
      </c>
      <c r="S14" s="8" t="s">
        <v>530</v>
      </c>
      <c r="T14" s="8" t="s">
        <v>37</v>
      </c>
      <c r="U14" s="8" t="s">
        <v>32</v>
      </c>
      <c r="V14" s="8" t="s">
        <v>32</v>
      </c>
      <c r="W14" s="8" t="s">
        <v>33</v>
      </c>
      <c r="X14" s="8" t="s">
        <v>33</v>
      </c>
      <c r="Y14" s="8" t="s">
        <v>33</v>
      </c>
      <c r="Z14" s="8" t="s">
        <v>33</v>
      </c>
      <c r="AA14" s="8" t="s">
        <v>33</v>
      </c>
      <c r="AB14" s="8" t="s">
        <v>32</v>
      </c>
      <c r="AC14" s="8" t="s">
        <v>33</v>
      </c>
      <c r="AD14" s="8" t="s">
        <v>32</v>
      </c>
      <c r="AE14" s="8" t="s">
        <v>32</v>
      </c>
      <c r="AF14" s="4">
        <f t="shared" si="0"/>
        <v>417</v>
      </c>
      <c r="AG14" s="4">
        <f t="shared" si="1"/>
        <v>120.66</v>
      </c>
      <c r="AH14" s="5" t="s">
        <v>185</v>
      </c>
      <c r="AI14" s="11" t="s">
        <v>539</v>
      </c>
      <c r="AJ14" s="11" t="s">
        <v>210</v>
      </c>
      <c r="AK14" s="11" t="s">
        <v>235</v>
      </c>
    </row>
    <row r="15" spans="1:37" x14ac:dyDescent="0.3">
      <c r="A15" s="8" t="s">
        <v>83</v>
      </c>
      <c r="B15" s="8" t="s">
        <v>84</v>
      </c>
      <c r="C15" s="7">
        <v>45294</v>
      </c>
      <c r="D15" s="8" t="s">
        <v>252</v>
      </c>
      <c r="E15" s="8" t="s">
        <v>549</v>
      </c>
      <c r="F15" s="8" t="s">
        <v>549</v>
      </c>
      <c r="G15" s="8" t="s">
        <v>550</v>
      </c>
      <c r="H15" s="9">
        <v>3738</v>
      </c>
      <c r="I15" s="9">
        <v>1081.5999999999999</v>
      </c>
      <c r="L15" s="8" t="s">
        <v>105</v>
      </c>
      <c r="M15" s="8" t="s">
        <v>34</v>
      </c>
      <c r="N15" s="8" t="s">
        <v>41</v>
      </c>
      <c r="O15" s="8" t="s">
        <v>14</v>
      </c>
      <c r="P15" s="8" t="s">
        <v>42</v>
      </c>
      <c r="Q15" s="8" t="s">
        <v>549</v>
      </c>
      <c r="R15" s="8" t="s">
        <v>33</v>
      </c>
      <c r="S15" s="8" t="s">
        <v>530</v>
      </c>
      <c r="T15" s="8" t="s">
        <v>80</v>
      </c>
      <c r="U15" s="8" t="s">
        <v>32</v>
      </c>
      <c r="V15" s="8" t="s">
        <v>32</v>
      </c>
      <c r="W15" s="8" t="s">
        <v>33</v>
      </c>
      <c r="X15" s="8" t="s">
        <v>33</v>
      </c>
      <c r="Y15" s="8" t="s">
        <v>33</v>
      </c>
      <c r="Z15" s="8" t="s">
        <v>33</v>
      </c>
      <c r="AA15" s="8" t="s">
        <v>33</v>
      </c>
      <c r="AB15" s="8" t="s">
        <v>32</v>
      </c>
      <c r="AC15" s="8" t="s">
        <v>33</v>
      </c>
      <c r="AD15" s="8" t="s">
        <v>32</v>
      </c>
      <c r="AE15" s="8" t="s">
        <v>32</v>
      </c>
      <c r="AF15" s="4">
        <f t="shared" si="0"/>
        <v>3738</v>
      </c>
      <c r="AG15" s="4">
        <f t="shared" si="1"/>
        <v>1081.5999999999999</v>
      </c>
      <c r="AH15" s="5" t="s">
        <v>185</v>
      </c>
      <c r="AI15" s="11" t="s">
        <v>213</v>
      </c>
      <c r="AJ15" s="11" t="s">
        <v>209</v>
      </c>
      <c r="AK15" s="11" t="s">
        <v>235</v>
      </c>
    </row>
    <row r="16" spans="1:37" x14ac:dyDescent="0.3">
      <c r="A16" s="8" t="s">
        <v>83</v>
      </c>
      <c r="B16" s="8" t="s">
        <v>84</v>
      </c>
      <c r="C16" s="7">
        <v>45294</v>
      </c>
      <c r="D16" s="8" t="s">
        <v>253</v>
      </c>
      <c r="E16" s="8" t="s">
        <v>549</v>
      </c>
      <c r="F16" s="8" t="s">
        <v>549</v>
      </c>
      <c r="G16" s="8" t="s">
        <v>550</v>
      </c>
      <c r="H16" s="9">
        <v>2225</v>
      </c>
      <c r="I16" s="9">
        <v>643.80999999999995</v>
      </c>
      <c r="L16" s="8" t="s">
        <v>76</v>
      </c>
      <c r="M16" s="8" t="s">
        <v>34</v>
      </c>
      <c r="N16" s="8" t="s">
        <v>41</v>
      </c>
      <c r="O16" s="8" t="s">
        <v>14</v>
      </c>
      <c r="P16" s="8" t="s">
        <v>42</v>
      </c>
      <c r="Q16" s="8" t="s">
        <v>549</v>
      </c>
      <c r="R16" s="8" t="s">
        <v>33</v>
      </c>
      <c r="S16" s="8" t="s">
        <v>530</v>
      </c>
      <c r="T16" s="8" t="s">
        <v>80</v>
      </c>
      <c r="U16" s="8" t="s">
        <v>32</v>
      </c>
      <c r="V16" s="8" t="s">
        <v>32</v>
      </c>
      <c r="W16" s="8" t="s">
        <v>33</v>
      </c>
      <c r="X16" s="8" t="s">
        <v>33</v>
      </c>
      <c r="Y16" s="8" t="s">
        <v>33</v>
      </c>
      <c r="Z16" s="8" t="s">
        <v>33</v>
      </c>
      <c r="AA16" s="8" t="s">
        <v>33</v>
      </c>
      <c r="AB16" s="8" t="s">
        <v>32</v>
      </c>
      <c r="AC16" s="8" t="s">
        <v>33</v>
      </c>
      <c r="AD16" s="8" t="s">
        <v>32</v>
      </c>
      <c r="AE16" s="8" t="s">
        <v>32</v>
      </c>
      <c r="AF16" s="4">
        <f t="shared" si="0"/>
        <v>2225</v>
      </c>
      <c r="AG16" s="4">
        <f t="shared" si="1"/>
        <v>643.80999999999995</v>
      </c>
      <c r="AH16" s="5" t="s">
        <v>185</v>
      </c>
      <c r="AI16" s="11" t="s">
        <v>213</v>
      </c>
      <c r="AJ16" s="11" t="s">
        <v>205</v>
      </c>
      <c r="AK16" s="11" t="s">
        <v>235</v>
      </c>
    </row>
    <row r="17" spans="1:37" x14ac:dyDescent="0.3">
      <c r="A17" s="8" t="s">
        <v>83</v>
      </c>
      <c r="B17" s="8" t="s">
        <v>84</v>
      </c>
      <c r="C17" s="7">
        <v>45294</v>
      </c>
      <c r="D17" s="8" t="s">
        <v>254</v>
      </c>
      <c r="E17" s="8" t="s">
        <v>549</v>
      </c>
      <c r="F17" s="8" t="s">
        <v>549</v>
      </c>
      <c r="G17" s="8" t="s">
        <v>550</v>
      </c>
      <c r="H17" s="9">
        <v>4940</v>
      </c>
      <c r="I17" s="9">
        <v>1429.4</v>
      </c>
      <c r="L17" s="8" t="s">
        <v>76</v>
      </c>
      <c r="M17" s="8" t="s">
        <v>34</v>
      </c>
      <c r="N17" s="8" t="s">
        <v>41</v>
      </c>
      <c r="O17" s="8" t="s">
        <v>14</v>
      </c>
      <c r="P17" s="8" t="s">
        <v>42</v>
      </c>
      <c r="Q17" s="8" t="s">
        <v>549</v>
      </c>
      <c r="R17" s="8" t="s">
        <v>33</v>
      </c>
      <c r="S17" s="8" t="s">
        <v>530</v>
      </c>
      <c r="T17" s="8" t="s">
        <v>80</v>
      </c>
      <c r="U17" s="8" t="s">
        <v>32</v>
      </c>
      <c r="V17" s="8" t="s">
        <v>32</v>
      </c>
      <c r="W17" s="8" t="s">
        <v>33</v>
      </c>
      <c r="X17" s="8" t="s">
        <v>33</v>
      </c>
      <c r="Y17" s="8" t="s">
        <v>33</v>
      </c>
      <c r="Z17" s="8" t="s">
        <v>33</v>
      </c>
      <c r="AA17" s="8" t="s">
        <v>33</v>
      </c>
      <c r="AB17" s="8" t="s">
        <v>32</v>
      </c>
      <c r="AC17" s="8" t="s">
        <v>33</v>
      </c>
      <c r="AD17" s="8" t="s">
        <v>32</v>
      </c>
      <c r="AE17" s="8" t="s">
        <v>32</v>
      </c>
      <c r="AF17" s="4">
        <f t="shared" si="0"/>
        <v>4940</v>
      </c>
      <c r="AG17" s="4">
        <f t="shared" si="1"/>
        <v>1429.4</v>
      </c>
      <c r="AH17" s="5" t="s">
        <v>185</v>
      </c>
      <c r="AI17" s="11" t="s">
        <v>213</v>
      </c>
      <c r="AJ17" s="11" t="s">
        <v>205</v>
      </c>
      <c r="AK17" s="11" t="s">
        <v>235</v>
      </c>
    </row>
    <row r="18" spans="1:37" x14ac:dyDescent="0.3">
      <c r="A18" s="8" t="s">
        <v>83</v>
      </c>
      <c r="B18" s="8" t="s">
        <v>84</v>
      </c>
      <c r="C18" s="7">
        <v>45294</v>
      </c>
      <c r="D18" s="8" t="s">
        <v>255</v>
      </c>
      <c r="E18" s="8" t="s">
        <v>549</v>
      </c>
      <c r="F18" s="8" t="s">
        <v>549</v>
      </c>
      <c r="G18" s="8" t="s">
        <v>550</v>
      </c>
      <c r="H18" s="9">
        <v>6718</v>
      </c>
      <c r="I18" s="9">
        <v>1943.87</v>
      </c>
      <c r="L18" s="8" t="s">
        <v>105</v>
      </c>
      <c r="M18" s="8" t="s">
        <v>34</v>
      </c>
      <c r="N18" s="8" t="s">
        <v>41</v>
      </c>
      <c r="O18" s="8" t="s">
        <v>14</v>
      </c>
      <c r="P18" s="8" t="s">
        <v>42</v>
      </c>
      <c r="Q18" s="8" t="s">
        <v>549</v>
      </c>
      <c r="R18" s="8" t="s">
        <v>33</v>
      </c>
      <c r="S18" s="8" t="s">
        <v>530</v>
      </c>
      <c r="T18" s="8" t="s">
        <v>80</v>
      </c>
      <c r="U18" s="8" t="s">
        <v>32</v>
      </c>
      <c r="V18" s="8" t="s">
        <v>32</v>
      </c>
      <c r="W18" s="8" t="s">
        <v>33</v>
      </c>
      <c r="X18" s="8" t="s">
        <v>33</v>
      </c>
      <c r="Y18" s="8" t="s">
        <v>33</v>
      </c>
      <c r="Z18" s="8" t="s">
        <v>33</v>
      </c>
      <c r="AA18" s="8" t="s">
        <v>33</v>
      </c>
      <c r="AB18" s="8" t="s">
        <v>32</v>
      </c>
      <c r="AC18" s="8" t="s">
        <v>33</v>
      </c>
      <c r="AD18" s="8" t="s">
        <v>32</v>
      </c>
      <c r="AE18" s="8" t="s">
        <v>32</v>
      </c>
      <c r="AF18" s="4">
        <f t="shared" si="0"/>
        <v>6718</v>
      </c>
      <c r="AG18" s="4">
        <f t="shared" si="1"/>
        <v>1943.87</v>
      </c>
      <c r="AH18" s="5" t="s">
        <v>185</v>
      </c>
      <c r="AI18" s="11" t="s">
        <v>213</v>
      </c>
      <c r="AJ18" s="11" t="s">
        <v>209</v>
      </c>
      <c r="AK18" s="11" t="s">
        <v>235</v>
      </c>
    </row>
    <row r="19" spans="1:37" x14ac:dyDescent="0.3">
      <c r="A19" s="8" t="s">
        <v>85</v>
      </c>
      <c r="B19" s="8" t="s">
        <v>86</v>
      </c>
      <c r="C19" s="7">
        <v>45294</v>
      </c>
      <c r="D19" s="8" t="s">
        <v>256</v>
      </c>
      <c r="E19" s="8" t="s">
        <v>549</v>
      </c>
      <c r="F19" s="8" t="s">
        <v>549</v>
      </c>
      <c r="G19" s="8" t="s">
        <v>550</v>
      </c>
      <c r="H19" s="9">
        <v>7492</v>
      </c>
      <c r="I19" s="9">
        <v>2167.8200000000002</v>
      </c>
      <c r="L19" s="8" t="s">
        <v>195</v>
      </c>
      <c r="M19" s="8" t="s">
        <v>38</v>
      </c>
      <c r="N19" s="8" t="s">
        <v>29</v>
      </c>
      <c r="O19" s="8" t="s">
        <v>14</v>
      </c>
      <c r="P19" s="8" t="s">
        <v>30</v>
      </c>
      <c r="Q19" s="8" t="s">
        <v>549</v>
      </c>
      <c r="R19" s="8" t="s">
        <v>33</v>
      </c>
      <c r="S19" s="8" t="s">
        <v>530</v>
      </c>
      <c r="T19" s="8" t="s">
        <v>31</v>
      </c>
      <c r="U19" s="8" t="s">
        <v>32</v>
      </c>
      <c r="V19" s="8" t="s">
        <v>32</v>
      </c>
      <c r="W19" s="8" t="s">
        <v>33</v>
      </c>
      <c r="X19" s="8" t="s">
        <v>33</v>
      </c>
      <c r="Y19" s="8" t="s">
        <v>33</v>
      </c>
      <c r="Z19" s="8" t="s">
        <v>33</v>
      </c>
      <c r="AA19" s="8" t="s">
        <v>33</v>
      </c>
      <c r="AB19" s="8" t="s">
        <v>32</v>
      </c>
      <c r="AC19" s="8" t="s">
        <v>33</v>
      </c>
      <c r="AD19" s="8" t="s">
        <v>32</v>
      </c>
      <c r="AE19" s="8" t="s">
        <v>32</v>
      </c>
      <c r="AF19" s="4">
        <f t="shared" si="0"/>
        <v>7492</v>
      </c>
      <c r="AG19" s="4">
        <f t="shared" si="1"/>
        <v>2167.8200000000002</v>
      </c>
      <c r="AH19" s="5" t="s">
        <v>185</v>
      </c>
      <c r="AI19" s="11" t="s">
        <v>213</v>
      </c>
      <c r="AJ19" s="11" t="s">
        <v>540</v>
      </c>
      <c r="AK19" s="11" t="s">
        <v>236</v>
      </c>
    </row>
    <row r="20" spans="1:37" x14ac:dyDescent="0.3">
      <c r="A20" s="8" t="s">
        <v>85</v>
      </c>
      <c r="B20" s="8" t="s">
        <v>86</v>
      </c>
      <c r="C20" s="7">
        <v>45294</v>
      </c>
      <c r="D20" s="8" t="s">
        <v>256</v>
      </c>
      <c r="E20" s="8" t="s">
        <v>549</v>
      </c>
      <c r="F20" s="8" t="s">
        <v>549</v>
      </c>
      <c r="G20" s="8" t="s">
        <v>550</v>
      </c>
      <c r="H20" s="9">
        <v>8495</v>
      </c>
      <c r="I20" s="9">
        <v>2458.04</v>
      </c>
      <c r="L20" s="8" t="s">
        <v>195</v>
      </c>
      <c r="M20" s="8" t="s">
        <v>43</v>
      </c>
      <c r="N20" s="8" t="s">
        <v>29</v>
      </c>
      <c r="O20" s="8" t="s">
        <v>14</v>
      </c>
      <c r="P20" s="8" t="s">
        <v>30</v>
      </c>
      <c r="Q20" s="8" t="s">
        <v>549</v>
      </c>
      <c r="R20" s="8" t="s">
        <v>33</v>
      </c>
      <c r="S20" s="8" t="s">
        <v>530</v>
      </c>
      <c r="T20" s="8" t="s">
        <v>31</v>
      </c>
      <c r="U20" s="8" t="s">
        <v>32</v>
      </c>
      <c r="V20" s="8" t="s">
        <v>32</v>
      </c>
      <c r="W20" s="8" t="s">
        <v>33</v>
      </c>
      <c r="X20" s="8" t="s">
        <v>33</v>
      </c>
      <c r="Y20" s="8" t="s">
        <v>33</v>
      </c>
      <c r="Z20" s="8" t="s">
        <v>33</v>
      </c>
      <c r="AA20" s="8" t="s">
        <v>33</v>
      </c>
      <c r="AB20" s="8" t="s">
        <v>32</v>
      </c>
      <c r="AC20" s="8" t="s">
        <v>33</v>
      </c>
      <c r="AD20" s="8" t="s">
        <v>32</v>
      </c>
      <c r="AE20" s="8" t="s">
        <v>32</v>
      </c>
      <c r="AF20" s="4">
        <f t="shared" si="0"/>
        <v>8495</v>
      </c>
      <c r="AG20" s="4">
        <f t="shared" si="1"/>
        <v>2458.04</v>
      </c>
      <c r="AH20" s="5" t="s">
        <v>185</v>
      </c>
      <c r="AI20" s="11" t="s">
        <v>213</v>
      </c>
      <c r="AJ20" s="11" t="s">
        <v>540</v>
      </c>
      <c r="AK20" s="11" t="s">
        <v>236</v>
      </c>
    </row>
    <row r="21" spans="1:37" x14ac:dyDescent="0.3">
      <c r="A21" s="8" t="s">
        <v>85</v>
      </c>
      <c r="B21" s="8" t="s">
        <v>86</v>
      </c>
      <c r="C21" s="7">
        <v>45294</v>
      </c>
      <c r="D21" s="8" t="s">
        <v>256</v>
      </c>
      <c r="E21" s="8" t="s">
        <v>549</v>
      </c>
      <c r="F21" s="8" t="s">
        <v>549</v>
      </c>
      <c r="G21" s="8" t="s">
        <v>550</v>
      </c>
      <c r="H21" s="9">
        <v>7655</v>
      </c>
      <c r="I21" s="9">
        <v>2214.9899999999998</v>
      </c>
      <c r="L21" s="8" t="s">
        <v>195</v>
      </c>
      <c r="M21" s="8" t="s">
        <v>45</v>
      </c>
      <c r="N21" s="8" t="s">
        <v>29</v>
      </c>
      <c r="O21" s="8" t="s">
        <v>14</v>
      </c>
      <c r="P21" s="8" t="s">
        <v>30</v>
      </c>
      <c r="Q21" s="8" t="s">
        <v>549</v>
      </c>
      <c r="R21" s="8" t="s">
        <v>33</v>
      </c>
      <c r="S21" s="8" t="s">
        <v>530</v>
      </c>
      <c r="T21" s="8" t="s">
        <v>31</v>
      </c>
      <c r="U21" s="8" t="s">
        <v>32</v>
      </c>
      <c r="V21" s="8" t="s">
        <v>32</v>
      </c>
      <c r="W21" s="8" t="s">
        <v>33</v>
      </c>
      <c r="X21" s="8" t="s">
        <v>33</v>
      </c>
      <c r="Y21" s="8" t="s">
        <v>33</v>
      </c>
      <c r="Z21" s="8" t="s">
        <v>33</v>
      </c>
      <c r="AA21" s="8" t="s">
        <v>33</v>
      </c>
      <c r="AB21" s="8" t="s">
        <v>32</v>
      </c>
      <c r="AC21" s="8" t="s">
        <v>33</v>
      </c>
      <c r="AD21" s="8" t="s">
        <v>32</v>
      </c>
      <c r="AE21" s="8" t="s">
        <v>32</v>
      </c>
      <c r="AF21" s="4">
        <f t="shared" si="0"/>
        <v>7655</v>
      </c>
      <c r="AG21" s="4">
        <f t="shared" si="1"/>
        <v>2214.9899999999998</v>
      </c>
      <c r="AH21" s="5" t="s">
        <v>185</v>
      </c>
      <c r="AI21" s="11" t="s">
        <v>213</v>
      </c>
      <c r="AJ21" s="11" t="s">
        <v>540</v>
      </c>
      <c r="AK21" s="11" t="s">
        <v>236</v>
      </c>
    </row>
    <row r="22" spans="1:37" x14ac:dyDescent="0.3">
      <c r="A22" s="8" t="s">
        <v>83</v>
      </c>
      <c r="B22" s="8" t="s">
        <v>84</v>
      </c>
      <c r="C22" s="7">
        <v>45295</v>
      </c>
      <c r="D22" s="8" t="s">
        <v>257</v>
      </c>
      <c r="E22" s="8" t="s">
        <v>549</v>
      </c>
      <c r="F22" s="8" t="s">
        <v>549</v>
      </c>
      <c r="G22" s="8" t="s">
        <v>550</v>
      </c>
      <c r="H22" s="9">
        <v>7973</v>
      </c>
      <c r="I22" s="9">
        <v>2307</v>
      </c>
      <c r="L22" s="8" t="s">
        <v>76</v>
      </c>
      <c r="M22" s="8" t="s">
        <v>34</v>
      </c>
      <c r="N22" s="8" t="s">
        <v>41</v>
      </c>
      <c r="O22" s="8" t="s">
        <v>14</v>
      </c>
      <c r="P22" s="8" t="s">
        <v>42</v>
      </c>
      <c r="Q22" s="8" t="s">
        <v>549</v>
      </c>
      <c r="R22" s="8" t="s">
        <v>33</v>
      </c>
      <c r="S22" s="8" t="s">
        <v>530</v>
      </c>
      <c r="T22" s="8" t="s">
        <v>80</v>
      </c>
      <c r="U22" s="8" t="s">
        <v>32</v>
      </c>
      <c r="V22" s="8" t="s">
        <v>32</v>
      </c>
      <c r="W22" s="8" t="s">
        <v>33</v>
      </c>
      <c r="X22" s="8" t="s">
        <v>33</v>
      </c>
      <c r="Y22" s="8" t="s">
        <v>33</v>
      </c>
      <c r="Z22" s="8" t="s">
        <v>33</v>
      </c>
      <c r="AA22" s="8" t="s">
        <v>33</v>
      </c>
      <c r="AB22" s="8" t="s">
        <v>32</v>
      </c>
      <c r="AC22" s="8" t="s">
        <v>33</v>
      </c>
      <c r="AD22" s="8" t="s">
        <v>32</v>
      </c>
      <c r="AE22" s="8" t="s">
        <v>32</v>
      </c>
      <c r="AF22" s="4">
        <f t="shared" si="0"/>
        <v>7973</v>
      </c>
      <c r="AG22" s="4">
        <f t="shared" si="1"/>
        <v>2307</v>
      </c>
      <c r="AH22" s="5" t="s">
        <v>185</v>
      </c>
      <c r="AI22" s="11" t="s">
        <v>213</v>
      </c>
      <c r="AJ22" s="11" t="s">
        <v>205</v>
      </c>
      <c r="AK22" s="11" t="s">
        <v>235</v>
      </c>
    </row>
    <row r="23" spans="1:37" x14ac:dyDescent="0.3">
      <c r="A23" s="8" t="s">
        <v>83</v>
      </c>
      <c r="B23" s="8" t="s">
        <v>84</v>
      </c>
      <c r="C23" s="7">
        <v>45295</v>
      </c>
      <c r="D23" s="8" t="s">
        <v>258</v>
      </c>
      <c r="E23" s="8" t="s">
        <v>549</v>
      </c>
      <c r="F23" s="8" t="s">
        <v>549</v>
      </c>
      <c r="G23" s="8" t="s">
        <v>550</v>
      </c>
      <c r="H23" s="9">
        <v>7110</v>
      </c>
      <c r="I23" s="9">
        <v>2057.29</v>
      </c>
      <c r="L23" s="8" t="s">
        <v>76</v>
      </c>
      <c r="M23" s="8" t="s">
        <v>34</v>
      </c>
      <c r="N23" s="8" t="s">
        <v>41</v>
      </c>
      <c r="O23" s="8" t="s">
        <v>14</v>
      </c>
      <c r="P23" s="8" t="s">
        <v>42</v>
      </c>
      <c r="Q23" s="8" t="s">
        <v>549</v>
      </c>
      <c r="R23" s="8" t="s">
        <v>33</v>
      </c>
      <c r="S23" s="8" t="s">
        <v>530</v>
      </c>
      <c r="T23" s="8" t="s">
        <v>80</v>
      </c>
      <c r="U23" s="8" t="s">
        <v>32</v>
      </c>
      <c r="V23" s="8" t="s">
        <v>32</v>
      </c>
      <c r="W23" s="8" t="s">
        <v>33</v>
      </c>
      <c r="X23" s="8" t="s">
        <v>33</v>
      </c>
      <c r="Y23" s="8" t="s">
        <v>33</v>
      </c>
      <c r="Z23" s="8" t="s">
        <v>33</v>
      </c>
      <c r="AA23" s="8" t="s">
        <v>33</v>
      </c>
      <c r="AB23" s="8" t="s">
        <v>32</v>
      </c>
      <c r="AC23" s="8" t="s">
        <v>33</v>
      </c>
      <c r="AD23" s="8" t="s">
        <v>32</v>
      </c>
      <c r="AE23" s="8" t="s">
        <v>32</v>
      </c>
      <c r="AF23" s="4">
        <f t="shared" si="0"/>
        <v>7110</v>
      </c>
      <c r="AG23" s="4">
        <f t="shared" si="1"/>
        <v>2057.29</v>
      </c>
      <c r="AH23" s="5" t="s">
        <v>185</v>
      </c>
      <c r="AI23" s="11" t="s">
        <v>213</v>
      </c>
      <c r="AJ23" s="11" t="s">
        <v>205</v>
      </c>
      <c r="AK23" s="11" t="s">
        <v>235</v>
      </c>
    </row>
    <row r="24" spans="1:37" x14ac:dyDescent="0.3">
      <c r="A24" s="8" t="s">
        <v>83</v>
      </c>
      <c r="B24" s="8" t="s">
        <v>84</v>
      </c>
      <c r="C24" s="7">
        <v>45295</v>
      </c>
      <c r="D24" s="8" t="s">
        <v>259</v>
      </c>
      <c r="E24" s="8" t="s">
        <v>549</v>
      </c>
      <c r="F24" s="8" t="s">
        <v>549</v>
      </c>
      <c r="G24" s="8" t="s">
        <v>550</v>
      </c>
      <c r="H24" s="9">
        <v>4298</v>
      </c>
      <c r="I24" s="9">
        <v>1243.6300000000001</v>
      </c>
      <c r="L24" s="8" t="s">
        <v>76</v>
      </c>
      <c r="M24" s="8" t="s">
        <v>34</v>
      </c>
      <c r="N24" s="8" t="s">
        <v>41</v>
      </c>
      <c r="O24" s="8" t="s">
        <v>14</v>
      </c>
      <c r="P24" s="8" t="s">
        <v>42</v>
      </c>
      <c r="Q24" s="8" t="s">
        <v>549</v>
      </c>
      <c r="R24" s="8" t="s">
        <v>33</v>
      </c>
      <c r="S24" s="8" t="s">
        <v>530</v>
      </c>
      <c r="T24" s="8" t="s">
        <v>80</v>
      </c>
      <c r="U24" s="8" t="s">
        <v>32</v>
      </c>
      <c r="V24" s="8" t="s">
        <v>32</v>
      </c>
      <c r="W24" s="8" t="s">
        <v>33</v>
      </c>
      <c r="X24" s="8" t="s">
        <v>33</v>
      </c>
      <c r="Y24" s="8" t="s">
        <v>33</v>
      </c>
      <c r="Z24" s="8" t="s">
        <v>33</v>
      </c>
      <c r="AA24" s="8" t="s">
        <v>33</v>
      </c>
      <c r="AB24" s="8" t="s">
        <v>32</v>
      </c>
      <c r="AC24" s="8" t="s">
        <v>33</v>
      </c>
      <c r="AD24" s="8" t="s">
        <v>32</v>
      </c>
      <c r="AE24" s="8" t="s">
        <v>32</v>
      </c>
      <c r="AF24" s="4">
        <f t="shared" si="0"/>
        <v>4298</v>
      </c>
      <c r="AG24" s="4">
        <f t="shared" si="1"/>
        <v>1243.6300000000001</v>
      </c>
      <c r="AH24" s="5" t="s">
        <v>185</v>
      </c>
      <c r="AI24" s="11" t="s">
        <v>213</v>
      </c>
      <c r="AJ24" s="11" t="s">
        <v>205</v>
      </c>
      <c r="AK24" s="11" t="s">
        <v>235</v>
      </c>
    </row>
    <row r="25" spans="1:37" x14ac:dyDescent="0.3">
      <c r="A25" s="8" t="s">
        <v>83</v>
      </c>
      <c r="B25" s="8" t="s">
        <v>84</v>
      </c>
      <c r="C25" s="7">
        <v>45295</v>
      </c>
      <c r="D25" s="8" t="s">
        <v>260</v>
      </c>
      <c r="E25" s="8" t="s">
        <v>549</v>
      </c>
      <c r="F25" s="8" t="s">
        <v>549</v>
      </c>
      <c r="G25" s="8" t="s">
        <v>550</v>
      </c>
      <c r="H25" s="9">
        <v>6277</v>
      </c>
      <c r="I25" s="9">
        <v>1816.26</v>
      </c>
      <c r="L25" s="8" t="s">
        <v>105</v>
      </c>
      <c r="M25" s="8" t="s">
        <v>34</v>
      </c>
      <c r="N25" s="8" t="s">
        <v>41</v>
      </c>
      <c r="O25" s="8" t="s">
        <v>14</v>
      </c>
      <c r="P25" s="8" t="s">
        <v>42</v>
      </c>
      <c r="Q25" s="8" t="s">
        <v>549</v>
      </c>
      <c r="R25" s="8" t="s">
        <v>33</v>
      </c>
      <c r="S25" s="8" t="s">
        <v>530</v>
      </c>
      <c r="T25" s="8" t="s">
        <v>80</v>
      </c>
      <c r="U25" s="8" t="s">
        <v>32</v>
      </c>
      <c r="V25" s="8" t="s">
        <v>32</v>
      </c>
      <c r="W25" s="8" t="s">
        <v>33</v>
      </c>
      <c r="X25" s="8" t="s">
        <v>33</v>
      </c>
      <c r="Y25" s="8" t="s">
        <v>33</v>
      </c>
      <c r="Z25" s="8" t="s">
        <v>33</v>
      </c>
      <c r="AA25" s="8" t="s">
        <v>33</v>
      </c>
      <c r="AB25" s="8" t="s">
        <v>32</v>
      </c>
      <c r="AC25" s="8" t="s">
        <v>33</v>
      </c>
      <c r="AD25" s="8" t="s">
        <v>32</v>
      </c>
      <c r="AE25" s="8" t="s">
        <v>32</v>
      </c>
      <c r="AF25" s="4">
        <f t="shared" si="0"/>
        <v>6277</v>
      </c>
      <c r="AG25" s="4">
        <f t="shared" si="1"/>
        <v>1816.26</v>
      </c>
      <c r="AH25" s="5" t="s">
        <v>185</v>
      </c>
      <c r="AI25" s="11" t="s">
        <v>213</v>
      </c>
      <c r="AJ25" s="11" t="s">
        <v>209</v>
      </c>
      <c r="AK25" s="11" t="s">
        <v>235</v>
      </c>
    </row>
    <row r="26" spans="1:37" x14ac:dyDescent="0.3">
      <c r="A26" s="8" t="s">
        <v>83</v>
      </c>
      <c r="B26" s="8" t="s">
        <v>84</v>
      </c>
      <c r="C26" s="7">
        <v>45295</v>
      </c>
      <c r="D26" s="8" t="s">
        <v>261</v>
      </c>
      <c r="E26" s="8" t="s">
        <v>549</v>
      </c>
      <c r="F26" s="8" t="s">
        <v>549</v>
      </c>
      <c r="G26" s="8" t="s">
        <v>550</v>
      </c>
      <c r="H26" s="9">
        <v>1357</v>
      </c>
      <c r="I26" s="9">
        <v>392.65</v>
      </c>
      <c r="L26" s="8" t="s">
        <v>105</v>
      </c>
      <c r="M26" s="8" t="s">
        <v>34</v>
      </c>
      <c r="N26" s="8" t="s">
        <v>41</v>
      </c>
      <c r="O26" s="8" t="s">
        <v>14</v>
      </c>
      <c r="P26" s="8" t="s">
        <v>42</v>
      </c>
      <c r="Q26" s="8" t="s">
        <v>549</v>
      </c>
      <c r="R26" s="8" t="s">
        <v>33</v>
      </c>
      <c r="S26" s="8" t="s">
        <v>530</v>
      </c>
      <c r="T26" s="8" t="s">
        <v>80</v>
      </c>
      <c r="U26" s="8" t="s">
        <v>32</v>
      </c>
      <c r="V26" s="8" t="s">
        <v>32</v>
      </c>
      <c r="W26" s="8" t="s">
        <v>33</v>
      </c>
      <c r="X26" s="8" t="s">
        <v>33</v>
      </c>
      <c r="Y26" s="8" t="s">
        <v>33</v>
      </c>
      <c r="Z26" s="8" t="s">
        <v>33</v>
      </c>
      <c r="AA26" s="8" t="s">
        <v>33</v>
      </c>
      <c r="AB26" s="8" t="s">
        <v>32</v>
      </c>
      <c r="AC26" s="8" t="s">
        <v>33</v>
      </c>
      <c r="AD26" s="8" t="s">
        <v>32</v>
      </c>
      <c r="AE26" s="8" t="s">
        <v>32</v>
      </c>
      <c r="AF26" s="4">
        <f t="shared" si="0"/>
        <v>1357</v>
      </c>
      <c r="AG26" s="4">
        <f t="shared" si="1"/>
        <v>392.65</v>
      </c>
      <c r="AH26" s="5" t="s">
        <v>185</v>
      </c>
      <c r="AI26" s="11" t="s">
        <v>213</v>
      </c>
      <c r="AJ26" s="11" t="s">
        <v>209</v>
      </c>
      <c r="AK26" s="11" t="s">
        <v>235</v>
      </c>
    </row>
    <row r="27" spans="1:37" x14ac:dyDescent="0.3">
      <c r="A27" s="8" t="s">
        <v>150</v>
      </c>
      <c r="B27" s="8" t="s">
        <v>151</v>
      </c>
      <c r="C27" s="7">
        <v>45295</v>
      </c>
      <c r="D27" s="8" t="s">
        <v>262</v>
      </c>
      <c r="E27" s="8" t="s">
        <v>549</v>
      </c>
      <c r="F27" s="8" t="s">
        <v>549</v>
      </c>
      <c r="G27" s="8" t="s">
        <v>550</v>
      </c>
      <c r="H27" s="9">
        <v>6866</v>
      </c>
      <c r="I27" s="9">
        <v>1986.69</v>
      </c>
      <c r="L27" s="8" t="s">
        <v>119</v>
      </c>
      <c r="M27" s="8" t="s">
        <v>34</v>
      </c>
      <c r="N27" s="8" t="s">
        <v>29</v>
      </c>
      <c r="O27" s="8" t="s">
        <v>14</v>
      </c>
      <c r="P27" s="8" t="s">
        <v>30</v>
      </c>
      <c r="Q27" s="8" t="s">
        <v>549</v>
      </c>
      <c r="R27" s="8" t="s">
        <v>33</v>
      </c>
      <c r="S27" s="8" t="s">
        <v>530</v>
      </c>
      <c r="T27" s="8" t="s">
        <v>31</v>
      </c>
      <c r="U27" s="8" t="s">
        <v>32</v>
      </c>
      <c r="V27" s="8" t="s">
        <v>32</v>
      </c>
      <c r="W27" s="8" t="s">
        <v>33</v>
      </c>
      <c r="X27" s="8" t="s">
        <v>33</v>
      </c>
      <c r="Y27" s="8" t="s">
        <v>33</v>
      </c>
      <c r="Z27" s="8" t="s">
        <v>33</v>
      </c>
      <c r="AA27" s="8" t="s">
        <v>33</v>
      </c>
      <c r="AB27" s="8" t="s">
        <v>32</v>
      </c>
      <c r="AC27" s="8" t="s">
        <v>33</v>
      </c>
      <c r="AD27" s="8" t="s">
        <v>32</v>
      </c>
      <c r="AE27" s="8" t="s">
        <v>32</v>
      </c>
      <c r="AF27" s="4">
        <f t="shared" si="0"/>
        <v>6866</v>
      </c>
      <c r="AG27" s="4">
        <f t="shared" si="1"/>
        <v>1986.69</v>
      </c>
      <c r="AH27" s="5" t="s">
        <v>184</v>
      </c>
      <c r="AI27" s="11" t="s">
        <v>551</v>
      </c>
      <c r="AJ27" s="11" t="s">
        <v>541</v>
      </c>
      <c r="AK27" s="11" t="s">
        <v>237</v>
      </c>
    </row>
    <row r="28" spans="1:37" x14ac:dyDescent="0.3">
      <c r="A28" s="8" t="s">
        <v>150</v>
      </c>
      <c r="B28" s="8" t="s">
        <v>151</v>
      </c>
      <c r="C28" s="7">
        <v>45295</v>
      </c>
      <c r="D28" s="8" t="s">
        <v>263</v>
      </c>
      <c r="E28" s="8" t="s">
        <v>549</v>
      </c>
      <c r="F28" s="8" t="s">
        <v>549</v>
      </c>
      <c r="G28" s="8" t="s">
        <v>550</v>
      </c>
      <c r="H28" s="9">
        <v>122</v>
      </c>
      <c r="I28" s="9">
        <v>35.299999999999997</v>
      </c>
      <c r="L28" s="8" t="s">
        <v>119</v>
      </c>
      <c r="M28" s="8" t="s">
        <v>34</v>
      </c>
      <c r="N28" s="8" t="s">
        <v>29</v>
      </c>
      <c r="O28" s="8" t="s">
        <v>14</v>
      </c>
      <c r="P28" s="8" t="s">
        <v>30</v>
      </c>
      <c r="Q28" s="8" t="s">
        <v>549</v>
      </c>
      <c r="R28" s="8" t="s">
        <v>33</v>
      </c>
      <c r="S28" s="8" t="s">
        <v>530</v>
      </c>
      <c r="T28" s="8" t="s">
        <v>31</v>
      </c>
      <c r="U28" s="8" t="s">
        <v>32</v>
      </c>
      <c r="V28" s="8" t="s">
        <v>32</v>
      </c>
      <c r="W28" s="8" t="s">
        <v>33</v>
      </c>
      <c r="X28" s="8" t="s">
        <v>33</v>
      </c>
      <c r="Y28" s="8" t="s">
        <v>33</v>
      </c>
      <c r="Z28" s="8" t="s">
        <v>33</v>
      </c>
      <c r="AA28" s="8" t="s">
        <v>33</v>
      </c>
      <c r="AB28" s="8" t="s">
        <v>32</v>
      </c>
      <c r="AC28" s="8" t="s">
        <v>33</v>
      </c>
      <c r="AD28" s="8" t="s">
        <v>32</v>
      </c>
      <c r="AE28" s="8" t="s">
        <v>32</v>
      </c>
      <c r="AF28" s="4">
        <f t="shared" si="0"/>
        <v>122</v>
      </c>
      <c r="AG28" s="4">
        <f t="shared" si="1"/>
        <v>35.299999999999997</v>
      </c>
      <c r="AH28" s="5" t="s">
        <v>184</v>
      </c>
      <c r="AI28" s="11" t="s">
        <v>551</v>
      </c>
      <c r="AJ28" s="11" t="s">
        <v>541</v>
      </c>
      <c r="AK28" s="11" t="s">
        <v>237</v>
      </c>
    </row>
    <row r="29" spans="1:37" x14ac:dyDescent="0.3">
      <c r="A29" s="8" t="s">
        <v>150</v>
      </c>
      <c r="B29" s="8" t="s">
        <v>151</v>
      </c>
      <c r="C29" s="7">
        <v>45295</v>
      </c>
      <c r="D29" s="8" t="s">
        <v>264</v>
      </c>
      <c r="E29" s="8" t="s">
        <v>549</v>
      </c>
      <c r="F29" s="8" t="s">
        <v>549</v>
      </c>
      <c r="G29" s="8" t="s">
        <v>550</v>
      </c>
      <c r="H29" s="9">
        <v>8587</v>
      </c>
      <c r="I29" s="9">
        <v>2484.66</v>
      </c>
      <c r="L29" s="8" t="s">
        <v>119</v>
      </c>
      <c r="M29" s="8" t="s">
        <v>34</v>
      </c>
      <c r="N29" s="8" t="s">
        <v>29</v>
      </c>
      <c r="O29" s="8" t="s">
        <v>14</v>
      </c>
      <c r="P29" s="8" t="s">
        <v>30</v>
      </c>
      <c r="Q29" s="8" t="s">
        <v>549</v>
      </c>
      <c r="R29" s="8" t="s">
        <v>33</v>
      </c>
      <c r="S29" s="8" t="s">
        <v>530</v>
      </c>
      <c r="T29" s="8" t="s">
        <v>31</v>
      </c>
      <c r="U29" s="8" t="s">
        <v>32</v>
      </c>
      <c r="V29" s="8" t="s">
        <v>32</v>
      </c>
      <c r="W29" s="8" t="s">
        <v>33</v>
      </c>
      <c r="X29" s="8" t="s">
        <v>33</v>
      </c>
      <c r="Y29" s="8" t="s">
        <v>33</v>
      </c>
      <c r="Z29" s="8" t="s">
        <v>33</v>
      </c>
      <c r="AA29" s="8" t="s">
        <v>33</v>
      </c>
      <c r="AB29" s="8" t="s">
        <v>32</v>
      </c>
      <c r="AC29" s="8" t="s">
        <v>33</v>
      </c>
      <c r="AD29" s="8" t="s">
        <v>32</v>
      </c>
      <c r="AE29" s="8" t="s">
        <v>32</v>
      </c>
      <c r="AF29" s="4">
        <f t="shared" si="0"/>
        <v>8587</v>
      </c>
      <c r="AG29" s="4">
        <f t="shared" si="1"/>
        <v>2484.66</v>
      </c>
      <c r="AH29" s="5" t="s">
        <v>184</v>
      </c>
      <c r="AI29" s="11" t="s">
        <v>551</v>
      </c>
      <c r="AJ29" s="11" t="s">
        <v>541</v>
      </c>
      <c r="AK29" s="11" t="s">
        <v>237</v>
      </c>
    </row>
    <row r="30" spans="1:37" x14ac:dyDescent="0.3">
      <c r="A30" s="8" t="s">
        <v>144</v>
      </c>
      <c r="B30" s="8" t="s">
        <v>145</v>
      </c>
      <c r="C30" s="7">
        <v>45295</v>
      </c>
      <c r="D30" s="8" t="s">
        <v>265</v>
      </c>
      <c r="E30" s="8" t="s">
        <v>549</v>
      </c>
      <c r="F30" s="8" t="s">
        <v>549</v>
      </c>
      <c r="G30" s="8" t="s">
        <v>550</v>
      </c>
      <c r="H30" s="9">
        <v>4447</v>
      </c>
      <c r="I30" s="9">
        <v>1286.75</v>
      </c>
      <c r="L30" s="8" t="s">
        <v>100</v>
      </c>
      <c r="M30" s="8" t="s">
        <v>34</v>
      </c>
      <c r="N30" s="8" t="s">
        <v>29</v>
      </c>
      <c r="O30" s="8" t="s">
        <v>14</v>
      </c>
      <c r="P30" s="8" t="s">
        <v>30</v>
      </c>
      <c r="Q30" s="8" t="s">
        <v>549</v>
      </c>
      <c r="R30" s="8" t="s">
        <v>33</v>
      </c>
      <c r="S30" s="8" t="s">
        <v>530</v>
      </c>
      <c r="T30" s="8" t="s">
        <v>31</v>
      </c>
      <c r="U30" s="8" t="s">
        <v>32</v>
      </c>
      <c r="V30" s="8" t="s">
        <v>32</v>
      </c>
      <c r="W30" s="8" t="s">
        <v>33</v>
      </c>
      <c r="X30" s="8" t="s">
        <v>33</v>
      </c>
      <c r="Y30" s="8" t="s">
        <v>33</v>
      </c>
      <c r="Z30" s="8" t="s">
        <v>33</v>
      </c>
      <c r="AA30" s="8" t="s">
        <v>33</v>
      </c>
      <c r="AB30" s="8" t="s">
        <v>32</v>
      </c>
      <c r="AC30" s="8" t="s">
        <v>33</v>
      </c>
      <c r="AD30" s="8" t="s">
        <v>32</v>
      </c>
      <c r="AE30" s="8" t="s">
        <v>32</v>
      </c>
      <c r="AF30" s="4">
        <f t="shared" si="0"/>
        <v>4447</v>
      </c>
      <c r="AG30" s="4">
        <f t="shared" si="1"/>
        <v>1286.75</v>
      </c>
      <c r="AH30" s="5" t="s">
        <v>185</v>
      </c>
      <c r="AI30" s="11" t="s">
        <v>218</v>
      </c>
      <c r="AJ30" s="11" t="s">
        <v>212</v>
      </c>
      <c r="AK30" s="11" t="s">
        <v>235</v>
      </c>
    </row>
    <row r="31" spans="1:37" x14ac:dyDescent="0.3">
      <c r="A31" s="8" t="s">
        <v>83</v>
      </c>
      <c r="B31" s="8" t="s">
        <v>84</v>
      </c>
      <c r="C31" s="7">
        <v>45296</v>
      </c>
      <c r="D31" s="8" t="s">
        <v>266</v>
      </c>
      <c r="E31" s="8" t="s">
        <v>549</v>
      </c>
      <c r="F31" s="8" t="s">
        <v>549</v>
      </c>
      <c r="G31" s="8" t="s">
        <v>550</v>
      </c>
      <c r="H31" s="9">
        <v>2662</v>
      </c>
      <c r="I31" s="9">
        <v>770.25</v>
      </c>
      <c r="L31" s="8" t="s">
        <v>105</v>
      </c>
      <c r="M31" s="8" t="s">
        <v>34</v>
      </c>
      <c r="N31" s="8" t="s">
        <v>41</v>
      </c>
      <c r="O31" s="8" t="s">
        <v>14</v>
      </c>
      <c r="P31" s="8" t="s">
        <v>42</v>
      </c>
      <c r="Q31" s="8" t="s">
        <v>549</v>
      </c>
      <c r="R31" s="8" t="s">
        <v>33</v>
      </c>
      <c r="S31" s="8" t="s">
        <v>530</v>
      </c>
      <c r="T31" s="8" t="s">
        <v>80</v>
      </c>
      <c r="U31" s="8" t="s">
        <v>32</v>
      </c>
      <c r="V31" s="8" t="s">
        <v>32</v>
      </c>
      <c r="W31" s="8" t="s">
        <v>33</v>
      </c>
      <c r="X31" s="8" t="s">
        <v>33</v>
      </c>
      <c r="Y31" s="8" t="s">
        <v>33</v>
      </c>
      <c r="Z31" s="8" t="s">
        <v>33</v>
      </c>
      <c r="AA31" s="8" t="s">
        <v>33</v>
      </c>
      <c r="AB31" s="8" t="s">
        <v>32</v>
      </c>
      <c r="AC31" s="8" t="s">
        <v>33</v>
      </c>
      <c r="AD31" s="8" t="s">
        <v>32</v>
      </c>
      <c r="AE31" s="8" t="s">
        <v>32</v>
      </c>
      <c r="AF31" s="4">
        <f t="shared" si="0"/>
        <v>2662</v>
      </c>
      <c r="AG31" s="4">
        <f t="shared" si="1"/>
        <v>770.25</v>
      </c>
      <c r="AH31" s="5" t="s">
        <v>185</v>
      </c>
      <c r="AI31" s="11" t="s">
        <v>213</v>
      </c>
      <c r="AJ31" s="11" t="s">
        <v>209</v>
      </c>
      <c r="AK31" s="11" t="s">
        <v>235</v>
      </c>
    </row>
    <row r="32" spans="1:37" x14ac:dyDescent="0.3">
      <c r="A32" s="8" t="s">
        <v>83</v>
      </c>
      <c r="B32" s="8" t="s">
        <v>84</v>
      </c>
      <c r="C32" s="7">
        <v>45296</v>
      </c>
      <c r="D32" s="8" t="s">
        <v>267</v>
      </c>
      <c r="E32" s="8" t="s">
        <v>549</v>
      </c>
      <c r="F32" s="8" t="s">
        <v>549</v>
      </c>
      <c r="G32" s="8" t="s">
        <v>550</v>
      </c>
      <c r="H32" s="9">
        <v>8143</v>
      </c>
      <c r="I32" s="9">
        <v>2356.19</v>
      </c>
      <c r="L32" s="8" t="s">
        <v>105</v>
      </c>
      <c r="M32" s="8" t="s">
        <v>34</v>
      </c>
      <c r="N32" s="8" t="s">
        <v>41</v>
      </c>
      <c r="O32" s="8" t="s">
        <v>14</v>
      </c>
      <c r="P32" s="8" t="s">
        <v>42</v>
      </c>
      <c r="Q32" s="8" t="s">
        <v>549</v>
      </c>
      <c r="R32" s="8" t="s">
        <v>33</v>
      </c>
      <c r="S32" s="8" t="s">
        <v>530</v>
      </c>
      <c r="T32" s="8" t="s">
        <v>80</v>
      </c>
      <c r="U32" s="8" t="s">
        <v>32</v>
      </c>
      <c r="V32" s="8" t="s">
        <v>32</v>
      </c>
      <c r="W32" s="8" t="s">
        <v>33</v>
      </c>
      <c r="X32" s="8" t="s">
        <v>33</v>
      </c>
      <c r="Y32" s="8" t="s">
        <v>33</v>
      </c>
      <c r="Z32" s="8" t="s">
        <v>33</v>
      </c>
      <c r="AA32" s="8" t="s">
        <v>33</v>
      </c>
      <c r="AB32" s="8" t="s">
        <v>32</v>
      </c>
      <c r="AC32" s="8" t="s">
        <v>33</v>
      </c>
      <c r="AD32" s="8" t="s">
        <v>32</v>
      </c>
      <c r="AE32" s="8" t="s">
        <v>32</v>
      </c>
      <c r="AF32" s="4">
        <f t="shared" si="0"/>
        <v>8143</v>
      </c>
      <c r="AG32" s="4">
        <f t="shared" si="1"/>
        <v>2356.19</v>
      </c>
      <c r="AH32" s="5" t="s">
        <v>185</v>
      </c>
      <c r="AI32" s="11" t="s">
        <v>213</v>
      </c>
      <c r="AJ32" s="11" t="s">
        <v>209</v>
      </c>
      <c r="AK32" s="11" t="s">
        <v>235</v>
      </c>
    </row>
    <row r="33" spans="1:37" x14ac:dyDescent="0.3">
      <c r="A33" s="8" t="s">
        <v>83</v>
      </c>
      <c r="B33" s="8" t="s">
        <v>84</v>
      </c>
      <c r="C33" s="7">
        <v>45296</v>
      </c>
      <c r="D33" s="8" t="s">
        <v>268</v>
      </c>
      <c r="E33" s="8" t="s">
        <v>549</v>
      </c>
      <c r="F33" s="8" t="s">
        <v>549</v>
      </c>
      <c r="G33" s="8" t="s">
        <v>550</v>
      </c>
      <c r="H33" s="9">
        <v>7624</v>
      </c>
      <c r="I33" s="9">
        <v>2206.02</v>
      </c>
      <c r="L33" s="8" t="s">
        <v>76</v>
      </c>
      <c r="M33" s="8" t="s">
        <v>34</v>
      </c>
      <c r="N33" s="8" t="s">
        <v>41</v>
      </c>
      <c r="O33" s="8" t="s">
        <v>14</v>
      </c>
      <c r="P33" s="8" t="s">
        <v>42</v>
      </c>
      <c r="Q33" s="8" t="s">
        <v>549</v>
      </c>
      <c r="R33" s="8" t="s">
        <v>33</v>
      </c>
      <c r="S33" s="8" t="s">
        <v>530</v>
      </c>
      <c r="T33" s="8" t="s">
        <v>80</v>
      </c>
      <c r="U33" s="8" t="s">
        <v>32</v>
      </c>
      <c r="V33" s="8" t="s">
        <v>32</v>
      </c>
      <c r="W33" s="8" t="s">
        <v>33</v>
      </c>
      <c r="X33" s="8" t="s">
        <v>33</v>
      </c>
      <c r="Y33" s="8" t="s">
        <v>33</v>
      </c>
      <c r="Z33" s="8" t="s">
        <v>33</v>
      </c>
      <c r="AA33" s="8" t="s">
        <v>33</v>
      </c>
      <c r="AB33" s="8" t="s">
        <v>32</v>
      </c>
      <c r="AC33" s="8" t="s">
        <v>33</v>
      </c>
      <c r="AD33" s="8" t="s">
        <v>32</v>
      </c>
      <c r="AE33" s="8" t="s">
        <v>32</v>
      </c>
      <c r="AF33" s="4">
        <f t="shared" si="0"/>
        <v>7624</v>
      </c>
      <c r="AG33" s="4">
        <f t="shared" si="1"/>
        <v>2206.02</v>
      </c>
      <c r="AH33" s="5" t="s">
        <v>185</v>
      </c>
      <c r="AI33" s="11" t="s">
        <v>213</v>
      </c>
      <c r="AJ33" s="11" t="s">
        <v>205</v>
      </c>
      <c r="AK33" s="11" t="s">
        <v>235</v>
      </c>
    </row>
    <row r="34" spans="1:37" x14ac:dyDescent="0.3">
      <c r="A34" s="8" t="s">
        <v>83</v>
      </c>
      <c r="B34" s="8" t="s">
        <v>84</v>
      </c>
      <c r="C34" s="7">
        <v>45296</v>
      </c>
      <c r="D34" s="8" t="s">
        <v>269</v>
      </c>
      <c r="E34" s="8" t="s">
        <v>549</v>
      </c>
      <c r="F34" s="8" t="s">
        <v>549</v>
      </c>
      <c r="G34" s="8" t="s">
        <v>550</v>
      </c>
      <c r="H34" s="9">
        <v>3274</v>
      </c>
      <c r="I34" s="9">
        <v>947.34</v>
      </c>
      <c r="L34" s="8" t="s">
        <v>76</v>
      </c>
      <c r="M34" s="8" t="s">
        <v>34</v>
      </c>
      <c r="N34" s="8" t="s">
        <v>41</v>
      </c>
      <c r="O34" s="8" t="s">
        <v>14</v>
      </c>
      <c r="P34" s="8" t="s">
        <v>42</v>
      </c>
      <c r="Q34" s="8" t="s">
        <v>549</v>
      </c>
      <c r="R34" s="8" t="s">
        <v>33</v>
      </c>
      <c r="S34" s="8" t="s">
        <v>530</v>
      </c>
      <c r="T34" s="8" t="s">
        <v>80</v>
      </c>
      <c r="U34" s="8" t="s">
        <v>32</v>
      </c>
      <c r="V34" s="8" t="s">
        <v>32</v>
      </c>
      <c r="W34" s="8" t="s">
        <v>33</v>
      </c>
      <c r="X34" s="8" t="s">
        <v>33</v>
      </c>
      <c r="Y34" s="8" t="s">
        <v>33</v>
      </c>
      <c r="Z34" s="8" t="s">
        <v>33</v>
      </c>
      <c r="AA34" s="8" t="s">
        <v>33</v>
      </c>
      <c r="AB34" s="8" t="s">
        <v>32</v>
      </c>
      <c r="AC34" s="8" t="s">
        <v>33</v>
      </c>
      <c r="AD34" s="8" t="s">
        <v>32</v>
      </c>
      <c r="AE34" s="8" t="s">
        <v>32</v>
      </c>
      <c r="AF34" s="4">
        <f t="shared" si="0"/>
        <v>3274</v>
      </c>
      <c r="AG34" s="4">
        <f t="shared" si="1"/>
        <v>947.34</v>
      </c>
      <c r="AH34" s="5" t="s">
        <v>185</v>
      </c>
      <c r="AI34" s="11" t="s">
        <v>213</v>
      </c>
      <c r="AJ34" s="11" t="s">
        <v>205</v>
      </c>
      <c r="AK34" s="11" t="s">
        <v>235</v>
      </c>
    </row>
    <row r="35" spans="1:37" x14ac:dyDescent="0.3">
      <c r="A35" s="8" t="s">
        <v>83</v>
      </c>
      <c r="B35" s="8" t="s">
        <v>84</v>
      </c>
      <c r="C35" s="7">
        <v>45296</v>
      </c>
      <c r="D35" s="8" t="s">
        <v>270</v>
      </c>
      <c r="E35" s="8" t="s">
        <v>549</v>
      </c>
      <c r="F35" s="8" t="s">
        <v>549</v>
      </c>
      <c r="G35" s="8" t="s">
        <v>550</v>
      </c>
      <c r="H35" s="9">
        <v>8924</v>
      </c>
      <c r="I35" s="9">
        <v>2582.1799999999998</v>
      </c>
      <c r="L35" s="8" t="s">
        <v>76</v>
      </c>
      <c r="M35" s="8" t="s">
        <v>34</v>
      </c>
      <c r="N35" s="8" t="s">
        <v>41</v>
      </c>
      <c r="O35" s="8" t="s">
        <v>14</v>
      </c>
      <c r="P35" s="8" t="s">
        <v>42</v>
      </c>
      <c r="Q35" s="8" t="s">
        <v>549</v>
      </c>
      <c r="R35" s="8" t="s">
        <v>33</v>
      </c>
      <c r="S35" s="8" t="s">
        <v>530</v>
      </c>
      <c r="T35" s="8" t="s">
        <v>80</v>
      </c>
      <c r="U35" s="8" t="s">
        <v>32</v>
      </c>
      <c r="V35" s="8" t="s">
        <v>32</v>
      </c>
      <c r="W35" s="8" t="s">
        <v>33</v>
      </c>
      <c r="X35" s="8" t="s">
        <v>33</v>
      </c>
      <c r="Y35" s="8" t="s">
        <v>33</v>
      </c>
      <c r="Z35" s="8" t="s">
        <v>33</v>
      </c>
      <c r="AA35" s="8" t="s">
        <v>33</v>
      </c>
      <c r="AB35" s="8" t="s">
        <v>32</v>
      </c>
      <c r="AC35" s="8" t="s">
        <v>33</v>
      </c>
      <c r="AD35" s="8" t="s">
        <v>32</v>
      </c>
      <c r="AE35" s="8" t="s">
        <v>32</v>
      </c>
      <c r="AF35" s="4">
        <f t="shared" si="0"/>
        <v>8924</v>
      </c>
      <c r="AG35" s="4">
        <f t="shared" si="1"/>
        <v>2582.1799999999998</v>
      </c>
      <c r="AH35" s="5" t="s">
        <v>185</v>
      </c>
      <c r="AI35" s="11" t="s">
        <v>213</v>
      </c>
      <c r="AJ35" s="11" t="s">
        <v>205</v>
      </c>
      <c r="AK35" s="11" t="s">
        <v>235</v>
      </c>
    </row>
    <row r="36" spans="1:37" x14ac:dyDescent="0.3">
      <c r="A36" s="8" t="s">
        <v>83</v>
      </c>
      <c r="B36" s="8" t="s">
        <v>84</v>
      </c>
      <c r="C36" s="7">
        <v>45296</v>
      </c>
      <c r="D36" s="8" t="s">
        <v>271</v>
      </c>
      <c r="E36" s="8" t="s">
        <v>549</v>
      </c>
      <c r="F36" s="8" t="s">
        <v>549</v>
      </c>
      <c r="G36" s="8" t="s">
        <v>550</v>
      </c>
      <c r="H36" s="9">
        <v>165</v>
      </c>
      <c r="I36" s="9">
        <v>47.74</v>
      </c>
      <c r="L36" s="8" t="s">
        <v>105</v>
      </c>
      <c r="M36" s="8" t="s">
        <v>34</v>
      </c>
      <c r="N36" s="8" t="s">
        <v>41</v>
      </c>
      <c r="O36" s="8" t="s">
        <v>14</v>
      </c>
      <c r="P36" s="8" t="s">
        <v>42</v>
      </c>
      <c r="Q36" s="8" t="s">
        <v>549</v>
      </c>
      <c r="R36" s="8" t="s">
        <v>33</v>
      </c>
      <c r="S36" s="8" t="s">
        <v>530</v>
      </c>
      <c r="T36" s="8" t="s">
        <v>80</v>
      </c>
      <c r="U36" s="8" t="s">
        <v>32</v>
      </c>
      <c r="V36" s="8" t="s">
        <v>32</v>
      </c>
      <c r="W36" s="8" t="s">
        <v>33</v>
      </c>
      <c r="X36" s="8" t="s">
        <v>33</v>
      </c>
      <c r="Y36" s="8" t="s">
        <v>33</v>
      </c>
      <c r="Z36" s="8" t="s">
        <v>33</v>
      </c>
      <c r="AA36" s="8" t="s">
        <v>33</v>
      </c>
      <c r="AB36" s="8" t="s">
        <v>32</v>
      </c>
      <c r="AC36" s="8" t="s">
        <v>33</v>
      </c>
      <c r="AD36" s="8" t="s">
        <v>32</v>
      </c>
      <c r="AE36" s="8" t="s">
        <v>32</v>
      </c>
      <c r="AF36" s="4">
        <f t="shared" si="0"/>
        <v>165</v>
      </c>
      <c r="AG36" s="4">
        <f t="shared" si="1"/>
        <v>47.74</v>
      </c>
      <c r="AH36" s="5" t="s">
        <v>185</v>
      </c>
      <c r="AI36" s="11" t="s">
        <v>213</v>
      </c>
      <c r="AJ36" s="11" t="s">
        <v>209</v>
      </c>
      <c r="AK36" s="11" t="s">
        <v>235</v>
      </c>
    </row>
    <row r="37" spans="1:37" x14ac:dyDescent="0.3">
      <c r="A37" s="8" t="s">
        <v>144</v>
      </c>
      <c r="B37" s="8" t="s">
        <v>145</v>
      </c>
      <c r="C37" s="7">
        <v>45296</v>
      </c>
      <c r="D37" s="8" t="s">
        <v>272</v>
      </c>
      <c r="E37" s="8" t="s">
        <v>549</v>
      </c>
      <c r="F37" s="8" t="s">
        <v>549</v>
      </c>
      <c r="G37" s="8" t="s">
        <v>550</v>
      </c>
      <c r="H37" s="9">
        <v>7381</v>
      </c>
      <c r="I37" s="9">
        <v>2135.71</v>
      </c>
      <c r="L37" s="8" t="s">
        <v>100</v>
      </c>
      <c r="M37" s="8" t="s">
        <v>34</v>
      </c>
      <c r="N37" s="8" t="s">
        <v>29</v>
      </c>
      <c r="O37" s="8" t="s">
        <v>14</v>
      </c>
      <c r="P37" s="8" t="s">
        <v>30</v>
      </c>
      <c r="Q37" s="8" t="s">
        <v>549</v>
      </c>
      <c r="R37" s="8" t="s">
        <v>33</v>
      </c>
      <c r="S37" s="8" t="s">
        <v>530</v>
      </c>
      <c r="T37" s="8" t="s">
        <v>31</v>
      </c>
      <c r="U37" s="8" t="s">
        <v>32</v>
      </c>
      <c r="V37" s="8" t="s">
        <v>32</v>
      </c>
      <c r="W37" s="8" t="s">
        <v>33</v>
      </c>
      <c r="X37" s="8" t="s">
        <v>33</v>
      </c>
      <c r="Y37" s="8" t="s">
        <v>33</v>
      </c>
      <c r="Z37" s="8" t="s">
        <v>33</v>
      </c>
      <c r="AA37" s="8" t="s">
        <v>33</v>
      </c>
      <c r="AB37" s="8" t="s">
        <v>32</v>
      </c>
      <c r="AC37" s="8" t="s">
        <v>33</v>
      </c>
      <c r="AD37" s="8" t="s">
        <v>32</v>
      </c>
      <c r="AE37" s="8" t="s">
        <v>32</v>
      </c>
      <c r="AF37" s="4">
        <f t="shared" si="0"/>
        <v>7381</v>
      </c>
      <c r="AG37" s="4">
        <f t="shared" si="1"/>
        <v>2135.71</v>
      </c>
      <c r="AH37" s="5" t="s">
        <v>185</v>
      </c>
      <c r="AI37" s="11" t="s">
        <v>218</v>
      </c>
      <c r="AJ37" s="11" t="s">
        <v>212</v>
      </c>
      <c r="AK37" s="11" t="s">
        <v>235</v>
      </c>
    </row>
    <row r="38" spans="1:37" x14ac:dyDescent="0.3">
      <c r="A38" s="8" t="s">
        <v>144</v>
      </c>
      <c r="B38" s="8" t="s">
        <v>145</v>
      </c>
      <c r="C38" s="7">
        <v>45296</v>
      </c>
      <c r="D38" s="8" t="s">
        <v>273</v>
      </c>
      <c r="E38" s="8" t="s">
        <v>549</v>
      </c>
      <c r="F38" s="8" t="s">
        <v>549</v>
      </c>
      <c r="G38" s="8" t="s">
        <v>550</v>
      </c>
      <c r="H38" s="9">
        <v>6646</v>
      </c>
      <c r="I38" s="9">
        <v>1923.03</v>
      </c>
      <c r="L38" s="8" t="s">
        <v>100</v>
      </c>
      <c r="M38" s="8" t="s">
        <v>34</v>
      </c>
      <c r="N38" s="8" t="s">
        <v>29</v>
      </c>
      <c r="O38" s="8" t="s">
        <v>14</v>
      </c>
      <c r="P38" s="8" t="s">
        <v>30</v>
      </c>
      <c r="Q38" s="8" t="s">
        <v>549</v>
      </c>
      <c r="R38" s="8" t="s">
        <v>33</v>
      </c>
      <c r="S38" s="8" t="s">
        <v>530</v>
      </c>
      <c r="T38" s="8" t="s">
        <v>31</v>
      </c>
      <c r="U38" s="8" t="s">
        <v>32</v>
      </c>
      <c r="V38" s="8" t="s">
        <v>32</v>
      </c>
      <c r="W38" s="8" t="s">
        <v>33</v>
      </c>
      <c r="X38" s="8" t="s">
        <v>33</v>
      </c>
      <c r="Y38" s="8" t="s">
        <v>33</v>
      </c>
      <c r="Z38" s="8" t="s">
        <v>33</v>
      </c>
      <c r="AA38" s="8" t="s">
        <v>33</v>
      </c>
      <c r="AB38" s="8" t="s">
        <v>32</v>
      </c>
      <c r="AC38" s="8" t="s">
        <v>33</v>
      </c>
      <c r="AD38" s="8" t="s">
        <v>32</v>
      </c>
      <c r="AE38" s="8" t="s">
        <v>32</v>
      </c>
      <c r="AF38" s="4">
        <f t="shared" si="0"/>
        <v>6646</v>
      </c>
      <c r="AG38" s="4">
        <f t="shared" si="1"/>
        <v>1923.03</v>
      </c>
      <c r="AH38" s="5" t="s">
        <v>185</v>
      </c>
      <c r="AI38" s="11" t="s">
        <v>218</v>
      </c>
      <c r="AJ38" s="11" t="s">
        <v>212</v>
      </c>
      <c r="AK38" s="11" t="s">
        <v>235</v>
      </c>
    </row>
    <row r="39" spans="1:37" x14ac:dyDescent="0.3">
      <c r="A39" s="8" t="s">
        <v>83</v>
      </c>
      <c r="B39" s="8" t="s">
        <v>84</v>
      </c>
      <c r="C39" s="7">
        <v>45298</v>
      </c>
      <c r="D39" s="8" t="s">
        <v>274</v>
      </c>
      <c r="E39" s="8" t="s">
        <v>549</v>
      </c>
      <c r="F39" s="8" t="s">
        <v>549</v>
      </c>
      <c r="G39" s="8" t="s">
        <v>550</v>
      </c>
      <c r="H39" s="9">
        <v>4988</v>
      </c>
      <c r="I39" s="9">
        <v>1443.29</v>
      </c>
      <c r="L39" s="8" t="s">
        <v>76</v>
      </c>
      <c r="M39" s="8" t="s">
        <v>34</v>
      </c>
      <c r="N39" s="8" t="s">
        <v>41</v>
      </c>
      <c r="O39" s="8" t="s">
        <v>14</v>
      </c>
      <c r="P39" s="8" t="s">
        <v>42</v>
      </c>
      <c r="Q39" s="8" t="s">
        <v>549</v>
      </c>
      <c r="R39" s="8" t="s">
        <v>33</v>
      </c>
      <c r="S39" s="8" t="s">
        <v>530</v>
      </c>
      <c r="T39" s="8" t="s">
        <v>80</v>
      </c>
      <c r="U39" s="8" t="s">
        <v>32</v>
      </c>
      <c r="V39" s="8" t="s">
        <v>32</v>
      </c>
      <c r="W39" s="8" t="s">
        <v>33</v>
      </c>
      <c r="X39" s="8" t="s">
        <v>33</v>
      </c>
      <c r="Y39" s="8" t="s">
        <v>33</v>
      </c>
      <c r="Z39" s="8" t="s">
        <v>33</v>
      </c>
      <c r="AA39" s="8" t="s">
        <v>33</v>
      </c>
      <c r="AB39" s="8" t="s">
        <v>32</v>
      </c>
      <c r="AC39" s="8" t="s">
        <v>33</v>
      </c>
      <c r="AD39" s="8" t="s">
        <v>32</v>
      </c>
      <c r="AE39" s="8" t="s">
        <v>32</v>
      </c>
      <c r="AF39" s="4">
        <f t="shared" si="0"/>
        <v>4988</v>
      </c>
      <c r="AG39" s="4">
        <f t="shared" si="1"/>
        <v>1443.29</v>
      </c>
      <c r="AH39" s="5" t="s">
        <v>185</v>
      </c>
      <c r="AI39" s="11" t="s">
        <v>213</v>
      </c>
      <c r="AJ39" s="11" t="s">
        <v>205</v>
      </c>
      <c r="AK39" s="11" t="s">
        <v>235</v>
      </c>
    </row>
    <row r="40" spans="1:37" x14ac:dyDescent="0.3">
      <c r="A40" s="8" t="s">
        <v>83</v>
      </c>
      <c r="B40" s="8" t="s">
        <v>84</v>
      </c>
      <c r="C40" s="7">
        <v>45298</v>
      </c>
      <c r="D40" s="8" t="s">
        <v>275</v>
      </c>
      <c r="E40" s="8" t="s">
        <v>549</v>
      </c>
      <c r="F40" s="8" t="s">
        <v>549</v>
      </c>
      <c r="G40" s="8" t="s">
        <v>550</v>
      </c>
      <c r="H40" s="9">
        <v>251</v>
      </c>
      <c r="I40" s="9">
        <v>72.63</v>
      </c>
      <c r="L40" s="8" t="s">
        <v>76</v>
      </c>
      <c r="M40" s="8" t="s">
        <v>34</v>
      </c>
      <c r="N40" s="8" t="s">
        <v>41</v>
      </c>
      <c r="O40" s="8" t="s">
        <v>14</v>
      </c>
      <c r="P40" s="8" t="s">
        <v>42</v>
      </c>
      <c r="Q40" s="8" t="s">
        <v>549</v>
      </c>
      <c r="R40" s="8" t="s">
        <v>33</v>
      </c>
      <c r="S40" s="8" t="s">
        <v>530</v>
      </c>
      <c r="T40" s="8" t="s">
        <v>80</v>
      </c>
      <c r="U40" s="8" t="s">
        <v>32</v>
      </c>
      <c r="V40" s="8" t="s">
        <v>32</v>
      </c>
      <c r="W40" s="8" t="s">
        <v>33</v>
      </c>
      <c r="X40" s="8" t="s">
        <v>33</v>
      </c>
      <c r="Y40" s="8" t="s">
        <v>33</v>
      </c>
      <c r="Z40" s="8" t="s">
        <v>33</v>
      </c>
      <c r="AA40" s="8" t="s">
        <v>33</v>
      </c>
      <c r="AB40" s="8" t="s">
        <v>32</v>
      </c>
      <c r="AC40" s="8" t="s">
        <v>33</v>
      </c>
      <c r="AD40" s="8" t="s">
        <v>32</v>
      </c>
      <c r="AE40" s="8" t="s">
        <v>32</v>
      </c>
      <c r="AF40" s="4">
        <f t="shared" si="0"/>
        <v>251</v>
      </c>
      <c r="AG40" s="4">
        <f t="shared" si="1"/>
        <v>72.63</v>
      </c>
      <c r="AH40" s="5" t="s">
        <v>185</v>
      </c>
      <c r="AI40" s="11" t="s">
        <v>213</v>
      </c>
      <c r="AJ40" s="11" t="s">
        <v>205</v>
      </c>
      <c r="AK40" s="11" t="s">
        <v>235</v>
      </c>
    </row>
    <row r="41" spans="1:37" x14ac:dyDescent="0.3">
      <c r="A41" s="8" t="s">
        <v>201</v>
      </c>
      <c r="B41" s="8" t="s">
        <v>200</v>
      </c>
      <c r="C41" s="7">
        <v>45298</v>
      </c>
      <c r="D41" s="8" t="s">
        <v>276</v>
      </c>
      <c r="E41" s="8" t="s">
        <v>549</v>
      </c>
      <c r="F41" s="8" t="s">
        <v>549</v>
      </c>
      <c r="G41" s="8" t="s">
        <v>550</v>
      </c>
      <c r="H41" s="9">
        <v>7931</v>
      </c>
      <c r="I41" s="9">
        <v>2294.85</v>
      </c>
      <c r="L41" s="8" t="s">
        <v>202</v>
      </c>
      <c r="M41" s="8" t="s">
        <v>34</v>
      </c>
      <c r="N41" s="8" t="s">
        <v>29</v>
      </c>
      <c r="O41" s="8" t="s">
        <v>14</v>
      </c>
      <c r="P41" s="8" t="s">
        <v>30</v>
      </c>
      <c r="Q41" s="8" t="s">
        <v>549</v>
      </c>
      <c r="R41" s="8" t="s">
        <v>33</v>
      </c>
      <c r="S41" s="8" t="s">
        <v>530</v>
      </c>
      <c r="T41" s="8" t="s">
        <v>31</v>
      </c>
      <c r="U41" s="8" t="s">
        <v>32</v>
      </c>
      <c r="V41" s="8" t="s">
        <v>32</v>
      </c>
      <c r="W41" s="8" t="s">
        <v>33</v>
      </c>
      <c r="X41" s="8" t="s">
        <v>33</v>
      </c>
      <c r="Y41" s="8" t="s">
        <v>33</v>
      </c>
      <c r="Z41" s="8" t="s">
        <v>33</v>
      </c>
      <c r="AA41" s="8" t="s">
        <v>33</v>
      </c>
      <c r="AB41" s="8" t="s">
        <v>32</v>
      </c>
      <c r="AC41" s="8" t="s">
        <v>33</v>
      </c>
      <c r="AD41" s="8" t="s">
        <v>32</v>
      </c>
      <c r="AE41" s="8" t="s">
        <v>32</v>
      </c>
      <c r="AF41" s="4">
        <f t="shared" si="0"/>
        <v>7931</v>
      </c>
      <c r="AG41" s="4">
        <f t="shared" si="1"/>
        <v>2294.85</v>
      </c>
      <c r="AH41" s="5" t="s">
        <v>185</v>
      </c>
      <c r="AI41" s="11" t="s">
        <v>552</v>
      </c>
      <c r="AJ41" s="11" t="s">
        <v>524</v>
      </c>
      <c r="AK41" s="11" t="s">
        <v>236</v>
      </c>
    </row>
    <row r="42" spans="1:37" x14ac:dyDescent="0.3">
      <c r="A42" s="8" t="s">
        <v>152</v>
      </c>
      <c r="B42" s="8" t="s">
        <v>153</v>
      </c>
      <c r="C42" s="7">
        <v>45298</v>
      </c>
      <c r="D42" s="8" t="s">
        <v>277</v>
      </c>
      <c r="E42" s="8" t="s">
        <v>549</v>
      </c>
      <c r="F42" s="8" t="s">
        <v>549</v>
      </c>
      <c r="G42" s="8" t="s">
        <v>550</v>
      </c>
      <c r="H42" s="9">
        <v>8781</v>
      </c>
      <c r="I42" s="9">
        <v>2540.8000000000002</v>
      </c>
      <c r="L42" s="8" t="s">
        <v>119</v>
      </c>
      <c r="M42" s="8" t="s">
        <v>34</v>
      </c>
      <c r="N42" s="8" t="s">
        <v>29</v>
      </c>
      <c r="O42" s="8" t="s">
        <v>14</v>
      </c>
      <c r="P42" s="8" t="s">
        <v>30</v>
      </c>
      <c r="Q42" s="8" t="s">
        <v>549</v>
      </c>
      <c r="R42" s="8" t="s">
        <v>33</v>
      </c>
      <c r="S42" s="8" t="s">
        <v>530</v>
      </c>
      <c r="T42" s="8" t="s">
        <v>31</v>
      </c>
      <c r="U42" s="8" t="s">
        <v>32</v>
      </c>
      <c r="V42" s="8" t="s">
        <v>32</v>
      </c>
      <c r="W42" s="8" t="s">
        <v>33</v>
      </c>
      <c r="X42" s="8" t="s">
        <v>33</v>
      </c>
      <c r="Y42" s="8" t="s">
        <v>33</v>
      </c>
      <c r="Z42" s="8" t="s">
        <v>33</v>
      </c>
      <c r="AA42" s="8" t="s">
        <v>33</v>
      </c>
      <c r="AB42" s="8" t="s">
        <v>32</v>
      </c>
      <c r="AC42" s="8" t="s">
        <v>33</v>
      </c>
      <c r="AD42" s="8" t="s">
        <v>32</v>
      </c>
      <c r="AE42" s="8" t="s">
        <v>32</v>
      </c>
      <c r="AF42" s="4">
        <f t="shared" si="0"/>
        <v>8781</v>
      </c>
      <c r="AG42" s="4">
        <f t="shared" si="1"/>
        <v>2540.8000000000002</v>
      </c>
      <c r="AH42" s="5" t="s">
        <v>184</v>
      </c>
      <c r="AI42" s="11" t="s">
        <v>551</v>
      </c>
      <c r="AJ42" s="11" t="s">
        <v>541</v>
      </c>
      <c r="AK42" s="11" t="s">
        <v>237</v>
      </c>
    </row>
    <row r="43" spans="1:37" x14ac:dyDescent="0.3">
      <c r="A43" s="8" t="s">
        <v>152</v>
      </c>
      <c r="B43" s="8" t="s">
        <v>153</v>
      </c>
      <c r="C43" s="7">
        <v>45298</v>
      </c>
      <c r="D43" s="8" t="s">
        <v>277</v>
      </c>
      <c r="E43" s="8" t="s">
        <v>549</v>
      </c>
      <c r="F43" s="8" t="s">
        <v>549</v>
      </c>
      <c r="G43" s="8" t="s">
        <v>550</v>
      </c>
      <c r="H43" s="9">
        <v>6832</v>
      </c>
      <c r="I43" s="9">
        <v>1976.85</v>
      </c>
      <c r="L43" s="8" t="s">
        <v>119</v>
      </c>
      <c r="M43" s="8" t="s">
        <v>38</v>
      </c>
      <c r="N43" s="8" t="s">
        <v>29</v>
      </c>
      <c r="O43" s="8" t="s">
        <v>14</v>
      </c>
      <c r="P43" s="8" t="s">
        <v>30</v>
      </c>
      <c r="Q43" s="8" t="s">
        <v>549</v>
      </c>
      <c r="R43" s="8" t="s">
        <v>33</v>
      </c>
      <c r="S43" s="8" t="s">
        <v>530</v>
      </c>
      <c r="T43" s="8" t="s">
        <v>31</v>
      </c>
      <c r="U43" s="8" t="s">
        <v>32</v>
      </c>
      <c r="V43" s="8" t="s">
        <v>32</v>
      </c>
      <c r="W43" s="8" t="s">
        <v>33</v>
      </c>
      <c r="X43" s="8" t="s">
        <v>33</v>
      </c>
      <c r="Y43" s="8" t="s">
        <v>33</v>
      </c>
      <c r="Z43" s="8" t="s">
        <v>33</v>
      </c>
      <c r="AA43" s="8" t="s">
        <v>33</v>
      </c>
      <c r="AB43" s="8" t="s">
        <v>32</v>
      </c>
      <c r="AC43" s="8" t="s">
        <v>33</v>
      </c>
      <c r="AD43" s="8" t="s">
        <v>32</v>
      </c>
      <c r="AE43" s="8" t="s">
        <v>32</v>
      </c>
      <c r="AF43" s="4">
        <f t="shared" si="0"/>
        <v>6832</v>
      </c>
      <c r="AG43" s="4">
        <f t="shared" si="1"/>
        <v>1976.85</v>
      </c>
      <c r="AH43" s="5" t="s">
        <v>184</v>
      </c>
      <c r="AI43" s="11" t="s">
        <v>551</v>
      </c>
      <c r="AJ43" s="11" t="s">
        <v>541</v>
      </c>
      <c r="AK43" s="11" t="s">
        <v>237</v>
      </c>
    </row>
    <row r="44" spans="1:37" x14ac:dyDescent="0.3">
      <c r="A44" s="8" t="s">
        <v>83</v>
      </c>
      <c r="B44" s="8" t="s">
        <v>84</v>
      </c>
      <c r="C44" s="7">
        <v>45299</v>
      </c>
      <c r="D44" s="8" t="s">
        <v>278</v>
      </c>
      <c r="E44" s="8" t="s">
        <v>549</v>
      </c>
      <c r="F44" s="8" t="s">
        <v>549</v>
      </c>
      <c r="G44" s="8" t="s">
        <v>550</v>
      </c>
      <c r="H44" s="9">
        <v>1427</v>
      </c>
      <c r="I44" s="9">
        <v>412.91</v>
      </c>
      <c r="L44" s="8" t="s">
        <v>105</v>
      </c>
      <c r="M44" s="8" t="s">
        <v>34</v>
      </c>
      <c r="N44" s="8" t="s">
        <v>41</v>
      </c>
      <c r="O44" s="8" t="s">
        <v>14</v>
      </c>
      <c r="P44" s="8" t="s">
        <v>42</v>
      </c>
      <c r="Q44" s="8" t="s">
        <v>549</v>
      </c>
      <c r="R44" s="8" t="s">
        <v>33</v>
      </c>
      <c r="S44" s="8" t="s">
        <v>530</v>
      </c>
      <c r="T44" s="8" t="s">
        <v>80</v>
      </c>
      <c r="U44" s="8" t="s">
        <v>32</v>
      </c>
      <c r="V44" s="8" t="s">
        <v>32</v>
      </c>
      <c r="W44" s="8" t="s">
        <v>33</v>
      </c>
      <c r="X44" s="8" t="s">
        <v>33</v>
      </c>
      <c r="Y44" s="8" t="s">
        <v>33</v>
      </c>
      <c r="Z44" s="8" t="s">
        <v>33</v>
      </c>
      <c r="AA44" s="8" t="s">
        <v>33</v>
      </c>
      <c r="AB44" s="8" t="s">
        <v>32</v>
      </c>
      <c r="AC44" s="8" t="s">
        <v>33</v>
      </c>
      <c r="AD44" s="8" t="s">
        <v>32</v>
      </c>
      <c r="AE44" s="8" t="s">
        <v>32</v>
      </c>
      <c r="AF44" s="4">
        <f t="shared" si="0"/>
        <v>1427</v>
      </c>
      <c r="AG44" s="4">
        <f t="shared" si="1"/>
        <v>412.91</v>
      </c>
      <c r="AH44" s="5" t="s">
        <v>185</v>
      </c>
      <c r="AI44" s="11" t="s">
        <v>213</v>
      </c>
      <c r="AJ44" s="11" t="s">
        <v>209</v>
      </c>
      <c r="AK44" s="11" t="s">
        <v>235</v>
      </c>
    </row>
    <row r="45" spans="1:37" x14ac:dyDescent="0.3">
      <c r="A45" s="8" t="s">
        <v>83</v>
      </c>
      <c r="B45" s="8" t="s">
        <v>84</v>
      </c>
      <c r="C45" s="7">
        <v>45299</v>
      </c>
      <c r="D45" s="8" t="s">
        <v>279</v>
      </c>
      <c r="E45" s="8" t="s">
        <v>549</v>
      </c>
      <c r="F45" s="8" t="s">
        <v>549</v>
      </c>
      <c r="G45" s="8" t="s">
        <v>550</v>
      </c>
      <c r="H45" s="9">
        <v>2450</v>
      </c>
      <c r="I45" s="9">
        <v>708.91</v>
      </c>
      <c r="L45" s="8" t="s">
        <v>105</v>
      </c>
      <c r="M45" s="8" t="s">
        <v>34</v>
      </c>
      <c r="N45" s="8" t="s">
        <v>41</v>
      </c>
      <c r="O45" s="8" t="s">
        <v>14</v>
      </c>
      <c r="P45" s="8" t="s">
        <v>42</v>
      </c>
      <c r="Q45" s="8" t="s">
        <v>549</v>
      </c>
      <c r="R45" s="8" t="s">
        <v>33</v>
      </c>
      <c r="S45" s="8" t="s">
        <v>530</v>
      </c>
      <c r="T45" s="8" t="s">
        <v>80</v>
      </c>
      <c r="U45" s="8" t="s">
        <v>32</v>
      </c>
      <c r="V45" s="8" t="s">
        <v>32</v>
      </c>
      <c r="W45" s="8" t="s">
        <v>33</v>
      </c>
      <c r="X45" s="8" t="s">
        <v>33</v>
      </c>
      <c r="Y45" s="8" t="s">
        <v>33</v>
      </c>
      <c r="Z45" s="8" t="s">
        <v>33</v>
      </c>
      <c r="AA45" s="8" t="s">
        <v>33</v>
      </c>
      <c r="AB45" s="8" t="s">
        <v>32</v>
      </c>
      <c r="AC45" s="8" t="s">
        <v>33</v>
      </c>
      <c r="AD45" s="8" t="s">
        <v>32</v>
      </c>
      <c r="AE45" s="8" t="s">
        <v>32</v>
      </c>
      <c r="AF45" s="4">
        <f t="shared" si="0"/>
        <v>2450</v>
      </c>
      <c r="AG45" s="4">
        <f t="shared" si="1"/>
        <v>708.91</v>
      </c>
      <c r="AH45" s="5" t="s">
        <v>185</v>
      </c>
      <c r="AI45" s="11" t="s">
        <v>213</v>
      </c>
      <c r="AJ45" s="11" t="s">
        <v>209</v>
      </c>
      <c r="AK45" s="11" t="s">
        <v>235</v>
      </c>
    </row>
    <row r="46" spans="1:37" x14ac:dyDescent="0.3">
      <c r="A46" s="8" t="s">
        <v>83</v>
      </c>
      <c r="B46" s="8" t="s">
        <v>84</v>
      </c>
      <c r="C46" s="7">
        <v>45299</v>
      </c>
      <c r="D46" s="8" t="s">
        <v>280</v>
      </c>
      <c r="E46" s="8" t="s">
        <v>549</v>
      </c>
      <c r="F46" s="8" t="s">
        <v>549</v>
      </c>
      <c r="G46" s="8" t="s">
        <v>550</v>
      </c>
      <c r="H46" s="9">
        <v>2099</v>
      </c>
      <c r="I46" s="9">
        <v>607.35</v>
      </c>
      <c r="L46" s="8" t="s">
        <v>76</v>
      </c>
      <c r="M46" s="8" t="s">
        <v>34</v>
      </c>
      <c r="N46" s="8" t="s">
        <v>41</v>
      </c>
      <c r="O46" s="8" t="s">
        <v>14</v>
      </c>
      <c r="P46" s="8" t="s">
        <v>42</v>
      </c>
      <c r="Q46" s="8" t="s">
        <v>549</v>
      </c>
      <c r="R46" s="8" t="s">
        <v>33</v>
      </c>
      <c r="S46" s="8" t="s">
        <v>530</v>
      </c>
      <c r="T46" s="8" t="s">
        <v>80</v>
      </c>
      <c r="U46" s="8" t="s">
        <v>32</v>
      </c>
      <c r="V46" s="8" t="s">
        <v>32</v>
      </c>
      <c r="W46" s="8" t="s">
        <v>33</v>
      </c>
      <c r="X46" s="8" t="s">
        <v>33</v>
      </c>
      <c r="Y46" s="8" t="s">
        <v>33</v>
      </c>
      <c r="Z46" s="8" t="s">
        <v>33</v>
      </c>
      <c r="AA46" s="8" t="s">
        <v>33</v>
      </c>
      <c r="AB46" s="8" t="s">
        <v>32</v>
      </c>
      <c r="AC46" s="8" t="s">
        <v>33</v>
      </c>
      <c r="AD46" s="8" t="s">
        <v>32</v>
      </c>
      <c r="AE46" s="8" t="s">
        <v>32</v>
      </c>
      <c r="AF46" s="4">
        <f t="shared" si="0"/>
        <v>2099</v>
      </c>
      <c r="AG46" s="4">
        <f t="shared" si="1"/>
        <v>607.35</v>
      </c>
      <c r="AH46" s="5" t="s">
        <v>185</v>
      </c>
      <c r="AI46" s="11" t="s">
        <v>213</v>
      </c>
      <c r="AJ46" s="11" t="s">
        <v>205</v>
      </c>
      <c r="AK46" s="11" t="s">
        <v>235</v>
      </c>
    </row>
    <row r="47" spans="1:37" x14ac:dyDescent="0.3">
      <c r="A47" s="8" t="s">
        <v>83</v>
      </c>
      <c r="B47" s="8" t="s">
        <v>84</v>
      </c>
      <c r="C47" s="7">
        <v>45299</v>
      </c>
      <c r="D47" s="8" t="s">
        <v>281</v>
      </c>
      <c r="E47" s="8" t="s">
        <v>549</v>
      </c>
      <c r="F47" s="8" t="s">
        <v>549</v>
      </c>
      <c r="G47" s="8" t="s">
        <v>550</v>
      </c>
      <c r="H47" s="9">
        <v>5674</v>
      </c>
      <c r="I47" s="9">
        <v>1641.78</v>
      </c>
      <c r="L47" s="8" t="s">
        <v>76</v>
      </c>
      <c r="M47" s="8" t="s">
        <v>34</v>
      </c>
      <c r="N47" s="8" t="s">
        <v>41</v>
      </c>
      <c r="O47" s="8" t="s">
        <v>14</v>
      </c>
      <c r="P47" s="8" t="s">
        <v>42</v>
      </c>
      <c r="Q47" s="8" t="s">
        <v>549</v>
      </c>
      <c r="R47" s="8" t="s">
        <v>33</v>
      </c>
      <c r="S47" s="8" t="s">
        <v>530</v>
      </c>
      <c r="T47" s="8" t="s">
        <v>80</v>
      </c>
      <c r="U47" s="8" t="s">
        <v>32</v>
      </c>
      <c r="V47" s="8" t="s">
        <v>32</v>
      </c>
      <c r="W47" s="8" t="s">
        <v>33</v>
      </c>
      <c r="X47" s="8" t="s">
        <v>33</v>
      </c>
      <c r="Y47" s="8" t="s">
        <v>33</v>
      </c>
      <c r="Z47" s="8" t="s">
        <v>33</v>
      </c>
      <c r="AA47" s="8" t="s">
        <v>33</v>
      </c>
      <c r="AB47" s="8" t="s">
        <v>32</v>
      </c>
      <c r="AC47" s="8" t="s">
        <v>33</v>
      </c>
      <c r="AD47" s="8" t="s">
        <v>32</v>
      </c>
      <c r="AE47" s="8" t="s">
        <v>32</v>
      </c>
      <c r="AF47" s="4">
        <f t="shared" si="0"/>
        <v>5674</v>
      </c>
      <c r="AG47" s="4">
        <f t="shared" si="1"/>
        <v>1641.78</v>
      </c>
      <c r="AH47" s="5" t="s">
        <v>185</v>
      </c>
      <c r="AI47" s="11" t="s">
        <v>213</v>
      </c>
      <c r="AJ47" s="11" t="s">
        <v>205</v>
      </c>
      <c r="AK47" s="11" t="s">
        <v>235</v>
      </c>
    </row>
    <row r="48" spans="1:37" x14ac:dyDescent="0.3">
      <c r="A48" s="8" t="s">
        <v>83</v>
      </c>
      <c r="B48" s="8" t="s">
        <v>84</v>
      </c>
      <c r="C48" s="7">
        <v>45299</v>
      </c>
      <c r="D48" s="8" t="s">
        <v>282</v>
      </c>
      <c r="E48" s="8" t="s">
        <v>549</v>
      </c>
      <c r="F48" s="8" t="s">
        <v>549</v>
      </c>
      <c r="G48" s="8" t="s">
        <v>550</v>
      </c>
      <c r="H48" s="9">
        <v>2908</v>
      </c>
      <c r="I48" s="9">
        <v>841.44</v>
      </c>
      <c r="L48" s="8" t="s">
        <v>105</v>
      </c>
      <c r="M48" s="8" t="s">
        <v>34</v>
      </c>
      <c r="N48" s="8" t="s">
        <v>41</v>
      </c>
      <c r="O48" s="8" t="s">
        <v>14</v>
      </c>
      <c r="P48" s="8" t="s">
        <v>42</v>
      </c>
      <c r="Q48" s="8" t="s">
        <v>549</v>
      </c>
      <c r="R48" s="8" t="s">
        <v>33</v>
      </c>
      <c r="S48" s="8" t="s">
        <v>530</v>
      </c>
      <c r="T48" s="8" t="s">
        <v>80</v>
      </c>
      <c r="U48" s="8" t="s">
        <v>32</v>
      </c>
      <c r="V48" s="8" t="s">
        <v>32</v>
      </c>
      <c r="W48" s="8" t="s">
        <v>33</v>
      </c>
      <c r="X48" s="8" t="s">
        <v>33</v>
      </c>
      <c r="Y48" s="8" t="s">
        <v>33</v>
      </c>
      <c r="Z48" s="8" t="s">
        <v>33</v>
      </c>
      <c r="AA48" s="8" t="s">
        <v>33</v>
      </c>
      <c r="AB48" s="8" t="s">
        <v>32</v>
      </c>
      <c r="AC48" s="8" t="s">
        <v>33</v>
      </c>
      <c r="AD48" s="8" t="s">
        <v>32</v>
      </c>
      <c r="AE48" s="8" t="s">
        <v>32</v>
      </c>
      <c r="AF48" s="4">
        <f t="shared" si="0"/>
        <v>2908</v>
      </c>
      <c r="AG48" s="4">
        <f t="shared" si="1"/>
        <v>841.44</v>
      </c>
      <c r="AH48" s="5" t="s">
        <v>185</v>
      </c>
      <c r="AI48" s="11" t="s">
        <v>213</v>
      </c>
      <c r="AJ48" s="11" t="s">
        <v>209</v>
      </c>
      <c r="AK48" s="11" t="s">
        <v>235</v>
      </c>
    </row>
    <row r="49" spans="1:37" x14ac:dyDescent="0.3">
      <c r="A49" s="8" t="s">
        <v>83</v>
      </c>
      <c r="B49" s="8" t="s">
        <v>84</v>
      </c>
      <c r="C49" s="7">
        <v>45300</v>
      </c>
      <c r="D49" s="8" t="s">
        <v>283</v>
      </c>
      <c r="E49" s="8" t="s">
        <v>549</v>
      </c>
      <c r="F49" s="8" t="s">
        <v>549</v>
      </c>
      <c r="G49" s="8" t="s">
        <v>550</v>
      </c>
      <c r="H49" s="9">
        <v>6666</v>
      </c>
      <c r="I49" s="9">
        <v>1928.82</v>
      </c>
      <c r="L49" s="8" t="s">
        <v>76</v>
      </c>
      <c r="M49" s="8" t="s">
        <v>34</v>
      </c>
      <c r="N49" s="8" t="s">
        <v>41</v>
      </c>
      <c r="O49" s="8" t="s">
        <v>14</v>
      </c>
      <c r="P49" s="8" t="s">
        <v>42</v>
      </c>
      <c r="Q49" s="8" t="s">
        <v>549</v>
      </c>
      <c r="R49" s="8" t="s">
        <v>33</v>
      </c>
      <c r="S49" s="8" t="s">
        <v>530</v>
      </c>
      <c r="T49" s="8" t="s">
        <v>80</v>
      </c>
      <c r="U49" s="8" t="s">
        <v>32</v>
      </c>
      <c r="V49" s="8" t="s">
        <v>32</v>
      </c>
      <c r="W49" s="8" t="s">
        <v>33</v>
      </c>
      <c r="X49" s="8" t="s">
        <v>33</v>
      </c>
      <c r="Y49" s="8" t="s">
        <v>33</v>
      </c>
      <c r="Z49" s="8" t="s">
        <v>33</v>
      </c>
      <c r="AA49" s="8" t="s">
        <v>33</v>
      </c>
      <c r="AB49" s="8" t="s">
        <v>32</v>
      </c>
      <c r="AC49" s="8" t="s">
        <v>33</v>
      </c>
      <c r="AD49" s="8" t="s">
        <v>32</v>
      </c>
      <c r="AE49" s="8" t="s">
        <v>32</v>
      </c>
      <c r="AF49" s="4">
        <f t="shared" si="0"/>
        <v>6666</v>
      </c>
      <c r="AG49" s="4">
        <f t="shared" si="1"/>
        <v>1928.82</v>
      </c>
      <c r="AH49" s="5" t="s">
        <v>185</v>
      </c>
      <c r="AI49" s="11" t="s">
        <v>213</v>
      </c>
      <c r="AJ49" s="11" t="s">
        <v>205</v>
      </c>
      <c r="AK49" s="11" t="s">
        <v>235</v>
      </c>
    </row>
    <row r="50" spans="1:37" x14ac:dyDescent="0.3">
      <c r="A50" s="8" t="s">
        <v>83</v>
      </c>
      <c r="B50" s="8" t="s">
        <v>84</v>
      </c>
      <c r="C50" s="7">
        <v>45300</v>
      </c>
      <c r="D50" s="8" t="s">
        <v>284</v>
      </c>
      <c r="E50" s="8" t="s">
        <v>549</v>
      </c>
      <c r="F50" s="8" t="s">
        <v>549</v>
      </c>
      <c r="G50" s="8" t="s">
        <v>550</v>
      </c>
      <c r="H50" s="9">
        <v>2963</v>
      </c>
      <c r="I50" s="9">
        <v>857.35</v>
      </c>
      <c r="L50" s="8" t="s">
        <v>105</v>
      </c>
      <c r="M50" s="8" t="s">
        <v>34</v>
      </c>
      <c r="N50" s="8" t="s">
        <v>41</v>
      </c>
      <c r="O50" s="8" t="s">
        <v>14</v>
      </c>
      <c r="P50" s="8" t="s">
        <v>42</v>
      </c>
      <c r="Q50" s="8" t="s">
        <v>549</v>
      </c>
      <c r="R50" s="8" t="s">
        <v>33</v>
      </c>
      <c r="S50" s="8" t="s">
        <v>530</v>
      </c>
      <c r="T50" s="8" t="s">
        <v>80</v>
      </c>
      <c r="U50" s="8" t="s">
        <v>32</v>
      </c>
      <c r="V50" s="8" t="s">
        <v>32</v>
      </c>
      <c r="W50" s="8" t="s">
        <v>33</v>
      </c>
      <c r="X50" s="8" t="s">
        <v>33</v>
      </c>
      <c r="Y50" s="8" t="s">
        <v>33</v>
      </c>
      <c r="Z50" s="8" t="s">
        <v>33</v>
      </c>
      <c r="AA50" s="8" t="s">
        <v>33</v>
      </c>
      <c r="AB50" s="8" t="s">
        <v>32</v>
      </c>
      <c r="AC50" s="8" t="s">
        <v>33</v>
      </c>
      <c r="AD50" s="8" t="s">
        <v>32</v>
      </c>
      <c r="AE50" s="8" t="s">
        <v>32</v>
      </c>
      <c r="AF50" s="4">
        <f t="shared" si="0"/>
        <v>2963</v>
      </c>
      <c r="AG50" s="4">
        <f t="shared" si="1"/>
        <v>857.35</v>
      </c>
      <c r="AH50" s="5" t="s">
        <v>185</v>
      </c>
      <c r="AI50" s="11" t="s">
        <v>213</v>
      </c>
      <c r="AJ50" s="11" t="s">
        <v>209</v>
      </c>
      <c r="AK50" s="11" t="s">
        <v>235</v>
      </c>
    </row>
    <row r="51" spans="1:37" x14ac:dyDescent="0.3">
      <c r="A51" s="8" t="s">
        <v>117</v>
      </c>
      <c r="B51" s="8" t="s">
        <v>118</v>
      </c>
      <c r="C51" s="7">
        <v>45300</v>
      </c>
      <c r="D51" s="8" t="s">
        <v>285</v>
      </c>
      <c r="E51" s="8" t="s">
        <v>549</v>
      </c>
      <c r="F51" s="8" t="s">
        <v>549</v>
      </c>
      <c r="G51" s="8" t="s">
        <v>550</v>
      </c>
      <c r="H51">
        <v>5074</v>
      </c>
      <c r="I51" s="9">
        <v>1468.17</v>
      </c>
      <c r="J51" s="9"/>
      <c r="K51" s="9"/>
      <c r="L51" s="8" t="s">
        <v>93</v>
      </c>
      <c r="M51" s="8" t="s">
        <v>34</v>
      </c>
      <c r="N51" s="8" t="s">
        <v>29</v>
      </c>
      <c r="O51" s="8" t="s">
        <v>14</v>
      </c>
      <c r="P51" s="8" t="s">
        <v>30</v>
      </c>
      <c r="Q51" s="8" t="s">
        <v>549</v>
      </c>
      <c r="R51" s="8" t="s">
        <v>33</v>
      </c>
      <c r="S51" s="8" t="s">
        <v>530</v>
      </c>
      <c r="T51" s="8" t="s">
        <v>31</v>
      </c>
      <c r="U51" s="8" t="s">
        <v>32</v>
      </c>
      <c r="V51" s="8" t="s">
        <v>32</v>
      </c>
      <c r="W51" s="8" t="s">
        <v>33</v>
      </c>
      <c r="X51" s="8" t="s">
        <v>33</v>
      </c>
      <c r="Y51" s="8" t="s">
        <v>33</v>
      </c>
      <c r="Z51" s="8" t="s">
        <v>33</v>
      </c>
      <c r="AA51" s="8" t="s">
        <v>33</v>
      </c>
      <c r="AB51" s="8" t="s">
        <v>32</v>
      </c>
      <c r="AC51" s="8" t="s">
        <v>33</v>
      </c>
      <c r="AD51" s="8" t="s">
        <v>32</v>
      </c>
      <c r="AE51" s="8" t="s">
        <v>32</v>
      </c>
      <c r="AF51" s="4">
        <f t="shared" si="0"/>
        <v>5074</v>
      </c>
      <c r="AG51" s="4">
        <f t="shared" si="1"/>
        <v>1468.17</v>
      </c>
      <c r="AH51" s="5" t="s">
        <v>185</v>
      </c>
      <c r="AI51" s="11" t="s">
        <v>214</v>
      </c>
      <c r="AJ51" s="11" t="s">
        <v>206</v>
      </c>
      <c r="AK51" s="11" t="s">
        <v>235</v>
      </c>
    </row>
    <row r="52" spans="1:37" x14ac:dyDescent="0.3">
      <c r="A52" s="8" t="s">
        <v>83</v>
      </c>
      <c r="B52" s="8" t="s">
        <v>84</v>
      </c>
      <c r="C52" s="7">
        <v>45301</v>
      </c>
      <c r="D52" s="8" t="s">
        <v>286</v>
      </c>
      <c r="E52" s="8" t="s">
        <v>549</v>
      </c>
      <c r="F52" s="8" t="s">
        <v>549</v>
      </c>
      <c r="G52" s="8" t="s">
        <v>550</v>
      </c>
      <c r="H52" s="9">
        <v>3033</v>
      </c>
      <c r="I52" s="9">
        <v>877.6</v>
      </c>
      <c r="L52" s="8" t="s">
        <v>76</v>
      </c>
      <c r="M52" s="8" t="s">
        <v>34</v>
      </c>
      <c r="N52" s="8" t="s">
        <v>41</v>
      </c>
      <c r="O52" s="8" t="s">
        <v>14</v>
      </c>
      <c r="P52" s="8" t="s">
        <v>42</v>
      </c>
      <c r="Q52" s="8" t="s">
        <v>549</v>
      </c>
      <c r="R52" s="8" t="s">
        <v>33</v>
      </c>
      <c r="S52" s="8" t="s">
        <v>530</v>
      </c>
      <c r="T52" s="8" t="s">
        <v>80</v>
      </c>
      <c r="U52" s="8" t="s">
        <v>32</v>
      </c>
      <c r="V52" s="8" t="s">
        <v>32</v>
      </c>
      <c r="W52" s="8" t="s">
        <v>33</v>
      </c>
      <c r="X52" s="8" t="s">
        <v>33</v>
      </c>
      <c r="Y52" s="8" t="s">
        <v>33</v>
      </c>
      <c r="Z52" s="8" t="s">
        <v>33</v>
      </c>
      <c r="AA52" s="8" t="s">
        <v>33</v>
      </c>
      <c r="AB52" s="8" t="s">
        <v>32</v>
      </c>
      <c r="AC52" s="8" t="s">
        <v>33</v>
      </c>
      <c r="AD52" s="8" t="s">
        <v>32</v>
      </c>
      <c r="AE52" s="8" t="s">
        <v>32</v>
      </c>
      <c r="AF52" s="4">
        <f t="shared" si="0"/>
        <v>3033</v>
      </c>
      <c r="AG52" s="4">
        <f t="shared" si="1"/>
        <v>877.6</v>
      </c>
      <c r="AH52" s="5" t="s">
        <v>185</v>
      </c>
      <c r="AI52" s="11" t="s">
        <v>213</v>
      </c>
      <c r="AJ52" s="11" t="s">
        <v>205</v>
      </c>
      <c r="AK52" s="11" t="s">
        <v>235</v>
      </c>
    </row>
    <row r="53" spans="1:37" x14ac:dyDescent="0.3">
      <c r="A53" s="8" t="s">
        <v>83</v>
      </c>
      <c r="B53" s="8" t="s">
        <v>84</v>
      </c>
      <c r="C53" s="7">
        <v>45301</v>
      </c>
      <c r="D53" s="8" t="s">
        <v>287</v>
      </c>
      <c r="E53" s="8" t="s">
        <v>549</v>
      </c>
      <c r="F53" s="8" t="s">
        <v>549</v>
      </c>
      <c r="G53" s="8" t="s">
        <v>550</v>
      </c>
      <c r="H53" s="9">
        <v>5491</v>
      </c>
      <c r="I53" s="9">
        <v>1588.83</v>
      </c>
      <c r="L53" s="8" t="s">
        <v>76</v>
      </c>
      <c r="M53" s="8" t="s">
        <v>34</v>
      </c>
      <c r="N53" s="8" t="s">
        <v>41</v>
      </c>
      <c r="O53" s="8" t="s">
        <v>14</v>
      </c>
      <c r="P53" s="8" t="s">
        <v>42</v>
      </c>
      <c r="Q53" s="8" t="s">
        <v>549</v>
      </c>
      <c r="R53" s="8" t="s">
        <v>33</v>
      </c>
      <c r="S53" s="8" t="s">
        <v>530</v>
      </c>
      <c r="T53" s="8" t="s">
        <v>80</v>
      </c>
      <c r="U53" s="8" t="s">
        <v>32</v>
      </c>
      <c r="V53" s="8" t="s">
        <v>32</v>
      </c>
      <c r="W53" s="8" t="s">
        <v>33</v>
      </c>
      <c r="X53" s="8" t="s">
        <v>33</v>
      </c>
      <c r="Y53" s="8" t="s">
        <v>33</v>
      </c>
      <c r="Z53" s="8" t="s">
        <v>33</v>
      </c>
      <c r="AA53" s="8" t="s">
        <v>33</v>
      </c>
      <c r="AB53" s="8" t="s">
        <v>32</v>
      </c>
      <c r="AC53" s="8" t="s">
        <v>33</v>
      </c>
      <c r="AD53" s="8" t="s">
        <v>32</v>
      </c>
      <c r="AE53" s="8" t="s">
        <v>32</v>
      </c>
      <c r="AF53" s="4">
        <f t="shared" si="0"/>
        <v>5491</v>
      </c>
      <c r="AG53" s="4">
        <f t="shared" si="1"/>
        <v>1588.83</v>
      </c>
      <c r="AH53" s="5" t="s">
        <v>185</v>
      </c>
      <c r="AI53" s="11" t="s">
        <v>213</v>
      </c>
      <c r="AJ53" s="11" t="s">
        <v>205</v>
      </c>
      <c r="AK53" s="11" t="s">
        <v>235</v>
      </c>
    </row>
    <row r="54" spans="1:37" x14ac:dyDescent="0.3">
      <c r="A54" s="8" t="s">
        <v>83</v>
      </c>
      <c r="B54" s="8" t="s">
        <v>84</v>
      </c>
      <c r="C54" s="7">
        <v>45301</v>
      </c>
      <c r="D54" s="8" t="s">
        <v>288</v>
      </c>
      <c r="E54" s="8" t="s">
        <v>549</v>
      </c>
      <c r="F54" s="8" t="s">
        <v>549</v>
      </c>
      <c r="G54" s="8" t="s">
        <v>550</v>
      </c>
      <c r="H54" s="9">
        <v>941</v>
      </c>
      <c r="I54" s="9">
        <v>272.27999999999997</v>
      </c>
      <c r="L54" s="8" t="s">
        <v>76</v>
      </c>
      <c r="M54" s="8" t="s">
        <v>34</v>
      </c>
      <c r="N54" s="8" t="s">
        <v>41</v>
      </c>
      <c r="O54" s="8" t="s">
        <v>14</v>
      </c>
      <c r="P54" s="8" t="s">
        <v>42</v>
      </c>
      <c r="Q54" s="8" t="s">
        <v>549</v>
      </c>
      <c r="R54" s="8" t="s">
        <v>33</v>
      </c>
      <c r="S54" s="8" t="s">
        <v>530</v>
      </c>
      <c r="T54" s="8" t="s">
        <v>80</v>
      </c>
      <c r="U54" s="8" t="s">
        <v>32</v>
      </c>
      <c r="V54" s="8" t="s">
        <v>32</v>
      </c>
      <c r="W54" s="8" t="s">
        <v>33</v>
      </c>
      <c r="X54" s="8" t="s">
        <v>33</v>
      </c>
      <c r="Y54" s="8" t="s">
        <v>33</v>
      </c>
      <c r="Z54" s="8" t="s">
        <v>33</v>
      </c>
      <c r="AA54" s="8" t="s">
        <v>33</v>
      </c>
      <c r="AB54" s="8" t="s">
        <v>32</v>
      </c>
      <c r="AC54" s="8" t="s">
        <v>33</v>
      </c>
      <c r="AD54" s="8" t="s">
        <v>32</v>
      </c>
      <c r="AE54" s="8" t="s">
        <v>32</v>
      </c>
      <c r="AF54" s="4">
        <f t="shared" si="0"/>
        <v>941</v>
      </c>
      <c r="AG54" s="4">
        <f t="shared" si="1"/>
        <v>272.27999999999997</v>
      </c>
      <c r="AH54" s="5" t="s">
        <v>185</v>
      </c>
      <c r="AI54" s="11" t="s">
        <v>213</v>
      </c>
      <c r="AJ54" s="11" t="s">
        <v>205</v>
      </c>
      <c r="AK54" s="11" t="s">
        <v>235</v>
      </c>
    </row>
    <row r="55" spans="1:37" x14ac:dyDescent="0.3">
      <c r="A55" s="8" t="s">
        <v>96</v>
      </c>
      <c r="B55" s="8" t="s">
        <v>97</v>
      </c>
      <c r="C55" s="7">
        <v>45301</v>
      </c>
      <c r="D55" s="8" t="s">
        <v>289</v>
      </c>
      <c r="E55" s="8" t="s">
        <v>549</v>
      </c>
      <c r="F55" s="8" t="s">
        <v>549</v>
      </c>
      <c r="G55" s="8" t="s">
        <v>550</v>
      </c>
      <c r="H55" s="9">
        <v>8317</v>
      </c>
      <c r="I55" s="9">
        <v>2406.54</v>
      </c>
      <c r="L55" s="8" t="s">
        <v>198</v>
      </c>
      <c r="M55" s="8" t="s">
        <v>38</v>
      </c>
      <c r="N55" s="8" t="s">
        <v>29</v>
      </c>
      <c r="O55" s="8" t="s">
        <v>14</v>
      </c>
      <c r="P55" s="8" t="s">
        <v>30</v>
      </c>
      <c r="Q55" s="8" t="s">
        <v>549</v>
      </c>
      <c r="R55" s="8" t="s">
        <v>33</v>
      </c>
      <c r="S55" s="8" t="s">
        <v>530</v>
      </c>
      <c r="T55" s="8" t="s">
        <v>31</v>
      </c>
      <c r="U55" s="8" t="s">
        <v>32</v>
      </c>
      <c r="V55" s="8" t="s">
        <v>32</v>
      </c>
      <c r="W55" s="8" t="s">
        <v>33</v>
      </c>
      <c r="X55" s="8" t="s">
        <v>33</v>
      </c>
      <c r="Y55" s="8" t="s">
        <v>33</v>
      </c>
      <c r="Z55" s="8" t="s">
        <v>33</v>
      </c>
      <c r="AA55" s="8" t="s">
        <v>33</v>
      </c>
      <c r="AB55" s="8" t="s">
        <v>32</v>
      </c>
      <c r="AC55" s="8" t="s">
        <v>33</v>
      </c>
      <c r="AD55" s="8" t="s">
        <v>32</v>
      </c>
      <c r="AE55" s="8" t="s">
        <v>32</v>
      </c>
      <c r="AF55" s="4">
        <f t="shared" si="0"/>
        <v>8317</v>
      </c>
      <c r="AG55" s="4">
        <f t="shared" si="1"/>
        <v>2406.54</v>
      </c>
      <c r="AH55" s="5" t="s">
        <v>185</v>
      </c>
      <c r="AI55" s="11" t="s">
        <v>221</v>
      </c>
      <c r="AJ55" s="11" t="s">
        <v>521</v>
      </c>
      <c r="AK55" s="11" t="s">
        <v>236</v>
      </c>
    </row>
    <row r="56" spans="1:37" x14ac:dyDescent="0.3">
      <c r="A56" s="8" t="s">
        <v>142</v>
      </c>
      <c r="B56" s="8" t="s">
        <v>143</v>
      </c>
      <c r="C56" s="7">
        <v>45301</v>
      </c>
      <c r="D56" s="8" t="s">
        <v>290</v>
      </c>
      <c r="E56" s="8" t="s">
        <v>549</v>
      </c>
      <c r="F56" s="8" t="s">
        <v>549</v>
      </c>
      <c r="G56" s="8" t="s">
        <v>550</v>
      </c>
      <c r="H56" s="9">
        <v>264</v>
      </c>
      <c r="I56" s="9">
        <v>76.39</v>
      </c>
      <c r="L56" s="8" t="s">
        <v>93</v>
      </c>
      <c r="M56" s="8" t="s">
        <v>28</v>
      </c>
      <c r="N56" s="8" t="s">
        <v>35</v>
      </c>
      <c r="O56" s="8" t="s">
        <v>14</v>
      </c>
      <c r="P56" s="8" t="s">
        <v>36</v>
      </c>
      <c r="Q56" s="8" t="s">
        <v>549</v>
      </c>
      <c r="R56" s="8" t="s">
        <v>33</v>
      </c>
      <c r="S56" s="8" t="s">
        <v>530</v>
      </c>
      <c r="T56" s="8" t="s">
        <v>37</v>
      </c>
      <c r="U56" s="8" t="s">
        <v>32</v>
      </c>
      <c r="V56" s="8" t="s">
        <v>32</v>
      </c>
      <c r="W56" s="8" t="s">
        <v>33</v>
      </c>
      <c r="X56" s="8" t="s">
        <v>33</v>
      </c>
      <c r="Y56" s="8" t="s">
        <v>33</v>
      </c>
      <c r="Z56" s="8" t="s">
        <v>33</v>
      </c>
      <c r="AA56" s="8" t="s">
        <v>33</v>
      </c>
      <c r="AB56" s="8" t="s">
        <v>32</v>
      </c>
      <c r="AC56" s="8" t="s">
        <v>33</v>
      </c>
      <c r="AD56" s="8" t="s">
        <v>32</v>
      </c>
      <c r="AE56" s="8" t="s">
        <v>32</v>
      </c>
      <c r="AF56" s="4">
        <f t="shared" si="0"/>
        <v>264</v>
      </c>
      <c r="AG56" s="4">
        <f t="shared" si="1"/>
        <v>76.39</v>
      </c>
      <c r="AH56" s="5" t="s">
        <v>185</v>
      </c>
      <c r="AI56" s="11" t="s">
        <v>231</v>
      </c>
      <c r="AJ56" s="11" t="s">
        <v>206</v>
      </c>
      <c r="AK56" s="11" t="s">
        <v>235</v>
      </c>
    </row>
    <row r="57" spans="1:37" x14ac:dyDescent="0.3">
      <c r="A57" s="8" t="s">
        <v>101</v>
      </c>
      <c r="B57" s="8" t="s">
        <v>102</v>
      </c>
      <c r="C57" s="7">
        <v>45301</v>
      </c>
      <c r="D57" s="8" t="s">
        <v>291</v>
      </c>
      <c r="E57" s="8" t="s">
        <v>549</v>
      </c>
      <c r="F57" s="8" t="s">
        <v>549</v>
      </c>
      <c r="G57" s="8" t="s">
        <v>550</v>
      </c>
      <c r="H57" s="9">
        <v>5652</v>
      </c>
      <c r="I57" s="9">
        <v>1635.42</v>
      </c>
      <c r="L57" s="8" t="s">
        <v>195</v>
      </c>
      <c r="M57" s="8" t="s">
        <v>34</v>
      </c>
      <c r="N57" s="8" t="s">
        <v>35</v>
      </c>
      <c r="O57" s="8" t="s">
        <v>14</v>
      </c>
      <c r="P57" s="8" t="s">
        <v>36</v>
      </c>
      <c r="Q57" s="8" t="s">
        <v>549</v>
      </c>
      <c r="R57" s="8" t="s">
        <v>33</v>
      </c>
      <c r="S57" s="8" t="s">
        <v>530</v>
      </c>
      <c r="T57" s="8" t="s">
        <v>37</v>
      </c>
      <c r="U57" s="8" t="s">
        <v>32</v>
      </c>
      <c r="V57" s="8" t="s">
        <v>32</v>
      </c>
      <c r="W57" s="8" t="s">
        <v>33</v>
      </c>
      <c r="X57" s="8" t="s">
        <v>33</v>
      </c>
      <c r="Y57" s="8" t="s">
        <v>33</v>
      </c>
      <c r="Z57" s="8" t="s">
        <v>33</v>
      </c>
      <c r="AA57" s="8" t="s">
        <v>33</v>
      </c>
      <c r="AB57" s="8" t="s">
        <v>32</v>
      </c>
      <c r="AC57" s="8" t="s">
        <v>33</v>
      </c>
      <c r="AD57" s="8" t="s">
        <v>32</v>
      </c>
      <c r="AE57" s="8" t="s">
        <v>32</v>
      </c>
      <c r="AF57" s="4">
        <f t="shared" si="0"/>
        <v>5652</v>
      </c>
      <c r="AG57" s="4">
        <f t="shared" si="1"/>
        <v>1635.42</v>
      </c>
      <c r="AH57" s="5" t="s">
        <v>185</v>
      </c>
      <c r="AI57" s="11" t="s">
        <v>223</v>
      </c>
      <c r="AJ57" s="11" t="s">
        <v>540</v>
      </c>
      <c r="AK57" s="11" t="s">
        <v>236</v>
      </c>
    </row>
    <row r="58" spans="1:37" x14ac:dyDescent="0.3">
      <c r="A58" s="8" t="s">
        <v>83</v>
      </c>
      <c r="B58" s="8" t="s">
        <v>84</v>
      </c>
      <c r="C58" s="7">
        <v>45302</v>
      </c>
      <c r="D58" s="8" t="s">
        <v>292</v>
      </c>
      <c r="E58" s="8" t="s">
        <v>549</v>
      </c>
      <c r="F58" s="8" t="s">
        <v>549</v>
      </c>
      <c r="G58" s="8" t="s">
        <v>550</v>
      </c>
      <c r="H58" s="9">
        <v>7469</v>
      </c>
      <c r="I58" s="9">
        <v>2161.17</v>
      </c>
      <c r="L58" s="8" t="s">
        <v>76</v>
      </c>
      <c r="M58" s="8" t="s">
        <v>34</v>
      </c>
      <c r="N58" s="8" t="s">
        <v>41</v>
      </c>
      <c r="O58" s="8" t="s">
        <v>14</v>
      </c>
      <c r="P58" s="8" t="s">
        <v>42</v>
      </c>
      <c r="Q58" s="8" t="s">
        <v>549</v>
      </c>
      <c r="R58" s="8" t="s">
        <v>33</v>
      </c>
      <c r="S58" s="8" t="s">
        <v>530</v>
      </c>
      <c r="T58" s="8" t="s">
        <v>80</v>
      </c>
      <c r="U58" s="8" t="s">
        <v>32</v>
      </c>
      <c r="V58" s="8" t="s">
        <v>32</v>
      </c>
      <c r="W58" s="8" t="s">
        <v>33</v>
      </c>
      <c r="X58" s="8" t="s">
        <v>33</v>
      </c>
      <c r="Y58" s="8" t="s">
        <v>33</v>
      </c>
      <c r="Z58" s="8" t="s">
        <v>33</v>
      </c>
      <c r="AA58" s="8" t="s">
        <v>33</v>
      </c>
      <c r="AB58" s="8" t="s">
        <v>32</v>
      </c>
      <c r="AC58" s="8" t="s">
        <v>33</v>
      </c>
      <c r="AD58" s="8" t="s">
        <v>32</v>
      </c>
      <c r="AE58" s="8" t="s">
        <v>32</v>
      </c>
      <c r="AF58" s="4">
        <f t="shared" si="0"/>
        <v>7469</v>
      </c>
      <c r="AG58" s="4">
        <f t="shared" si="1"/>
        <v>2161.17</v>
      </c>
      <c r="AH58" s="5" t="s">
        <v>185</v>
      </c>
      <c r="AI58" s="11" t="s">
        <v>213</v>
      </c>
      <c r="AJ58" s="11" t="s">
        <v>205</v>
      </c>
      <c r="AK58" s="11" t="s">
        <v>235</v>
      </c>
    </row>
    <row r="59" spans="1:37" x14ac:dyDescent="0.3">
      <c r="A59" s="8" t="s">
        <v>83</v>
      </c>
      <c r="B59" s="8" t="s">
        <v>84</v>
      </c>
      <c r="C59" s="7">
        <v>45302</v>
      </c>
      <c r="D59" s="8" t="s">
        <v>293</v>
      </c>
      <c r="E59" s="8" t="s">
        <v>549</v>
      </c>
      <c r="F59" s="8" t="s">
        <v>549</v>
      </c>
      <c r="G59" s="8" t="s">
        <v>550</v>
      </c>
      <c r="H59" s="9">
        <v>5826</v>
      </c>
      <c r="I59" s="9">
        <v>1685.76</v>
      </c>
      <c r="L59" s="8" t="s">
        <v>76</v>
      </c>
      <c r="M59" s="8" t="s">
        <v>34</v>
      </c>
      <c r="N59" s="8" t="s">
        <v>41</v>
      </c>
      <c r="O59" s="8" t="s">
        <v>14</v>
      </c>
      <c r="P59" s="8" t="s">
        <v>42</v>
      </c>
      <c r="Q59" s="8" t="s">
        <v>549</v>
      </c>
      <c r="R59" s="8" t="s">
        <v>33</v>
      </c>
      <c r="S59" s="8" t="s">
        <v>530</v>
      </c>
      <c r="T59" s="8" t="s">
        <v>80</v>
      </c>
      <c r="U59" s="8" t="s">
        <v>32</v>
      </c>
      <c r="V59" s="8" t="s">
        <v>32</v>
      </c>
      <c r="W59" s="8" t="s">
        <v>33</v>
      </c>
      <c r="X59" s="8" t="s">
        <v>33</v>
      </c>
      <c r="Y59" s="8" t="s">
        <v>33</v>
      </c>
      <c r="Z59" s="8" t="s">
        <v>33</v>
      </c>
      <c r="AA59" s="8" t="s">
        <v>33</v>
      </c>
      <c r="AB59" s="8" t="s">
        <v>32</v>
      </c>
      <c r="AC59" s="8" t="s">
        <v>33</v>
      </c>
      <c r="AD59" s="8" t="s">
        <v>32</v>
      </c>
      <c r="AE59" s="8" t="s">
        <v>32</v>
      </c>
      <c r="AF59" s="4">
        <f t="shared" si="0"/>
        <v>5826</v>
      </c>
      <c r="AG59" s="4">
        <f t="shared" si="1"/>
        <v>1685.76</v>
      </c>
      <c r="AH59" s="5" t="s">
        <v>185</v>
      </c>
      <c r="AI59" s="11" t="s">
        <v>213</v>
      </c>
      <c r="AJ59" s="11" t="s">
        <v>205</v>
      </c>
      <c r="AK59" s="11" t="s">
        <v>235</v>
      </c>
    </row>
    <row r="60" spans="1:37" x14ac:dyDescent="0.3">
      <c r="A60" s="8" t="s">
        <v>83</v>
      </c>
      <c r="B60" s="8" t="s">
        <v>84</v>
      </c>
      <c r="C60" s="7">
        <v>45302</v>
      </c>
      <c r="D60" s="8" t="s">
        <v>294</v>
      </c>
      <c r="E60" s="8" t="s">
        <v>549</v>
      </c>
      <c r="F60" s="8" t="s">
        <v>549</v>
      </c>
      <c r="G60" s="8" t="s">
        <v>550</v>
      </c>
      <c r="H60" s="9">
        <v>6577</v>
      </c>
      <c r="I60" s="9">
        <v>1903.07</v>
      </c>
      <c r="L60" s="8" t="s">
        <v>76</v>
      </c>
      <c r="M60" s="8" t="s">
        <v>34</v>
      </c>
      <c r="N60" s="8" t="s">
        <v>41</v>
      </c>
      <c r="O60" s="8" t="s">
        <v>14</v>
      </c>
      <c r="P60" s="8" t="s">
        <v>42</v>
      </c>
      <c r="Q60" s="8" t="s">
        <v>549</v>
      </c>
      <c r="R60" s="8" t="s">
        <v>33</v>
      </c>
      <c r="S60" s="8" t="s">
        <v>530</v>
      </c>
      <c r="T60" s="8" t="s">
        <v>80</v>
      </c>
      <c r="U60" s="8" t="s">
        <v>32</v>
      </c>
      <c r="V60" s="8" t="s">
        <v>32</v>
      </c>
      <c r="W60" s="8" t="s">
        <v>33</v>
      </c>
      <c r="X60" s="8" t="s">
        <v>33</v>
      </c>
      <c r="Y60" s="8" t="s">
        <v>33</v>
      </c>
      <c r="Z60" s="8" t="s">
        <v>33</v>
      </c>
      <c r="AA60" s="8" t="s">
        <v>33</v>
      </c>
      <c r="AB60" s="8" t="s">
        <v>32</v>
      </c>
      <c r="AC60" s="8" t="s">
        <v>33</v>
      </c>
      <c r="AD60" s="8" t="s">
        <v>32</v>
      </c>
      <c r="AE60" s="8" t="s">
        <v>32</v>
      </c>
      <c r="AF60" s="4">
        <f t="shared" si="0"/>
        <v>6577</v>
      </c>
      <c r="AG60" s="4">
        <f t="shared" si="1"/>
        <v>1903.07</v>
      </c>
      <c r="AH60" s="5" t="s">
        <v>185</v>
      </c>
      <c r="AI60" s="11" t="s">
        <v>213</v>
      </c>
      <c r="AJ60" s="11" t="s">
        <v>205</v>
      </c>
      <c r="AK60" s="11" t="s">
        <v>235</v>
      </c>
    </row>
    <row r="61" spans="1:37" x14ac:dyDescent="0.3">
      <c r="A61" s="8" t="s">
        <v>109</v>
      </c>
      <c r="B61" s="8" t="s">
        <v>110</v>
      </c>
      <c r="C61" s="7">
        <v>45302</v>
      </c>
      <c r="D61" s="8" t="s">
        <v>295</v>
      </c>
      <c r="E61" s="8" t="s">
        <v>549</v>
      </c>
      <c r="F61" s="8" t="s">
        <v>549</v>
      </c>
      <c r="G61" s="8" t="s">
        <v>550</v>
      </c>
      <c r="H61" s="9">
        <v>4441</v>
      </c>
      <c r="I61" s="9">
        <v>1285.01</v>
      </c>
      <c r="L61" s="8" t="s">
        <v>198</v>
      </c>
      <c r="M61" s="8" t="s">
        <v>34</v>
      </c>
      <c r="N61" s="8" t="s">
        <v>29</v>
      </c>
      <c r="O61" s="8" t="s">
        <v>14</v>
      </c>
      <c r="P61" s="8" t="s">
        <v>30</v>
      </c>
      <c r="Q61" s="8" t="s">
        <v>549</v>
      </c>
      <c r="R61" s="8" t="s">
        <v>33</v>
      </c>
      <c r="S61" s="8" t="s">
        <v>530</v>
      </c>
      <c r="T61" s="8" t="s">
        <v>31</v>
      </c>
      <c r="U61" s="8" t="s">
        <v>32</v>
      </c>
      <c r="V61" s="8" t="s">
        <v>32</v>
      </c>
      <c r="W61" s="8" t="s">
        <v>33</v>
      </c>
      <c r="X61" s="8" t="s">
        <v>33</v>
      </c>
      <c r="Y61" s="8" t="s">
        <v>33</v>
      </c>
      <c r="Z61" s="8" t="s">
        <v>33</v>
      </c>
      <c r="AA61" s="8" t="s">
        <v>33</v>
      </c>
      <c r="AB61" s="8" t="s">
        <v>32</v>
      </c>
      <c r="AC61" s="8" t="s">
        <v>33</v>
      </c>
      <c r="AD61" s="8" t="s">
        <v>32</v>
      </c>
      <c r="AE61" s="8" t="s">
        <v>32</v>
      </c>
      <c r="AF61" s="4">
        <f t="shared" si="0"/>
        <v>4441</v>
      </c>
      <c r="AG61" s="4">
        <f t="shared" si="1"/>
        <v>1285.01</v>
      </c>
      <c r="AH61" s="5" t="s">
        <v>185</v>
      </c>
      <c r="AI61" s="11" t="s">
        <v>225</v>
      </c>
      <c r="AJ61" s="11" t="s">
        <v>521</v>
      </c>
      <c r="AK61" s="11" t="s">
        <v>236</v>
      </c>
    </row>
    <row r="62" spans="1:37" x14ac:dyDescent="0.3">
      <c r="A62" s="8" t="s">
        <v>94</v>
      </c>
      <c r="B62" s="8" t="s">
        <v>95</v>
      </c>
      <c r="C62" s="7">
        <v>45302</v>
      </c>
      <c r="D62" s="8" t="s">
        <v>296</v>
      </c>
      <c r="E62" s="8" t="s">
        <v>549</v>
      </c>
      <c r="F62" s="8" t="s">
        <v>549</v>
      </c>
      <c r="G62" s="8" t="s">
        <v>550</v>
      </c>
      <c r="H62" s="9">
        <v>5499</v>
      </c>
      <c r="I62" s="9">
        <v>1591.15</v>
      </c>
      <c r="L62" s="8" t="s">
        <v>79</v>
      </c>
      <c r="M62" s="8" t="s">
        <v>34</v>
      </c>
      <c r="N62" s="8" t="s">
        <v>29</v>
      </c>
      <c r="O62" s="8" t="s">
        <v>14</v>
      </c>
      <c r="P62" s="8" t="s">
        <v>30</v>
      </c>
      <c r="Q62" s="8" t="s">
        <v>549</v>
      </c>
      <c r="R62" s="8" t="s">
        <v>33</v>
      </c>
      <c r="S62" s="8" t="s">
        <v>530</v>
      </c>
      <c r="T62" s="8" t="s">
        <v>31</v>
      </c>
      <c r="U62" s="8" t="s">
        <v>32</v>
      </c>
      <c r="V62" s="8" t="s">
        <v>32</v>
      </c>
      <c r="W62" s="8" t="s">
        <v>33</v>
      </c>
      <c r="X62" s="8" t="s">
        <v>33</v>
      </c>
      <c r="Y62" s="8" t="s">
        <v>33</v>
      </c>
      <c r="Z62" s="8" t="s">
        <v>33</v>
      </c>
      <c r="AA62" s="8" t="s">
        <v>33</v>
      </c>
      <c r="AB62" s="8" t="s">
        <v>32</v>
      </c>
      <c r="AC62" s="8" t="s">
        <v>33</v>
      </c>
      <c r="AD62" s="8" t="s">
        <v>32</v>
      </c>
      <c r="AE62" s="8" t="s">
        <v>32</v>
      </c>
      <c r="AF62" s="4">
        <f t="shared" si="0"/>
        <v>5499</v>
      </c>
      <c r="AG62" s="4">
        <f t="shared" si="1"/>
        <v>1591.15</v>
      </c>
      <c r="AH62" s="5" t="s">
        <v>185</v>
      </c>
      <c r="AI62" s="11" t="s">
        <v>222</v>
      </c>
      <c r="AJ62" s="11" t="s">
        <v>542</v>
      </c>
      <c r="AK62" s="11" t="s">
        <v>238</v>
      </c>
    </row>
    <row r="63" spans="1:37" x14ac:dyDescent="0.3">
      <c r="A63" s="8" t="s">
        <v>150</v>
      </c>
      <c r="B63" s="8" t="s">
        <v>151</v>
      </c>
      <c r="C63" s="7">
        <v>45302</v>
      </c>
      <c r="D63" s="8" t="s">
        <v>297</v>
      </c>
      <c r="E63" s="8" t="s">
        <v>549</v>
      </c>
      <c r="F63" s="8" t="s">
        <v>549</v>
      </c>
      <c r="G63" s="8" t="s">
        <v>550</v>
      </c>
      <c r="H63" s="9">
        <v>3487</v>
      </c>
      <c r="I63" s="9">
        <v>1008.97</v>
      </c>
      <c r="L63" s="8" t="s">
        <v>119</v>
      </c>
      <c r="M63" s="8" t="s">
        <v>34</v>
      </c>
      <c r="N63" s="8" t="s">
        <v>29</v>
      </c>
      <c r="O63" s="8" t="s">
        <v>14</v>
      </c>
      <c r="P63" s="8" t="s">
        <v>30</v>
      </c>
      <c r="Q63" s="8" t="s">
        <v>549</v>
      </c>
      <c r="R63" s="8" t="s">
        <v>33</v>
      </c>
      <c r="S63" s="8" t="s">
        <v>530</v>
      </c>
      <c r="T63" s="8" t="s">
        <v>31</v>
      </c>
      <c r="U63" s="8" t="s">
        <v>32</v>
      </c>
      <c r="V63" s="8" t="s">
        <v>32</v>
      </c>
      <c r="W63" s="8" t="s">
        <v>33</v>
      </c>
      <c r="X63" s="8" t="s">
        <v>33</v>
      </c>
      <c r="Y63" s="8" t="s">
        <v>33</v>
      </c>
      <c r="Z63" s="8" t="s">
        <v>33</v>
      </c>
      <c r="AA63" s="8" t="s">
        <v>33</v>
      </c>
      <c r="AB63" s="8" t="s">
        <v>32</v>
      </c>
      <c r="AC63" s="8" t="s">
        <v>33</v>
      </c>
      <c r="AD63" s="8" t="s">
        <v>32</v>
      </c>
      <c r="AE63" s="8" t="s">
        <v>32</v>
      </c>
      <c r="AF63" s="4">
        <f t="shared" si="0"/>
        <v>3487</v>
      </c>
      <c r="AG63" s="4">
        <f t="shared" si="1"/>
        <v>1008.97</v>
      </c>
      <c r="AH63" s="5" t="s">
        <v>184</v>
      </c>
      <c r="AI63" s="11" t="s">
        <v>551</v>
      </c>
      <c r="AJ63" s="11" t="s">
        <v>541</v>
      </c>
      <c r="AK63" s="11" t="s">
        <v>237</v>
      </c>
    </row>
    <row r="64" spans="1:37" x14ac:dyDescent="0.3">
      <c r="A64" s="8" t="s">
        <v>150</v>
      </c>
      <c r="B64" s="8" t="s">
        <v>151</v>
      </c>
      <c r="C64" s="7">
        <v>45302</v>
      </c>
      <c r="D64" s="8" t="s">
        <v>297</v>
      </c>
      <c r="E64" s="8" t="s">
        <v>549</v>
      </c>
      <c r="F64" s="8" t="s">
        <v>549</v>
      </c>
      <c r="G64" s="8" t="s">
        <v>550</v>
      </c>
      <c r="H64" s="9">
        <v>8796</v>
      </c>
      <c r="I64" s="9">
        <v>2545.14</v>
      </c>
      <c r="L64" s="8" t="s">
        <v>119</v>
      </c>
      <c r="M64" s="8" t="s">
        <v>38</v>
      </c>
      <c r="N64" s="8" t="s">
        <v>29</v>
      </c>
      <c r="O64" s="8" t="s">
        <v>14</v>
      </c>
      <c r="P64" s="8" t="s">
        <v>30</v>
      </c>
      <c r="Q64" s="8" t="s">
        <v>549</v>
      </c>
      <c r="R64" s="8" t="s">
        <v>33</v>
      </c>
      <c r="S64" s="8" t="s">
        <v>530</v>
      </c>
      <c r="T64" s="8" t="s">
        <v>31</v>
      </c>
      <c r="U64" s="8" t="s">
        <v>32</v>
      </c>
      <c r="V64" s="8" t="s">
        <v>32</v>
      </c>
      <c r="W64" s="8" t="s">
        <v>33</v>
      </c>
      <c r="X64" s="8" t="s">
        <v>33</v>
      </c>
      <c r="Y64" s="8" t="s">
        <v>33</v>
      </c>
      <c r="Z64" s="8" t="s">
        <v>33</v>
      </c>
      <c r="AA64" s="8" t="s">
        <v>33</v>
      </c>
      <c r="AB64" s="8" t="s">
        <v>32</v>
      </c>
      <c r="AC64" s="8" t="s">
        <v>33</v>
      </c>
      <c r="AD64" s="8" t="s">
        <v>32</v>
      </c>
      <c r="AE64" s="8" t="s">
        <v>32</v>
      </c>
      <c r="AF64" s="4">
        <f t="shared" si="0"/>
        <v>8796</v>
      </c>
      <c r="AG64" s="4">
        <f t="shared" si="1"/>
        <v>2545.14</v>
      </c>
      <c r="AH64" s="5" t="s">
        <v>184</v>
      </c>
      <c r="AI64" s="11" t="s">
        <v>551</v>
      </c>
      <c r="AJ64" s="11" t="s">
        <v>541</v>
      </c>
      <c r="AK64" s="11" t="s">
        <v>237</v>
      </c>
    </row>
    <row r="65" spans="1:37" x14ac:dyDescent="0.3">
      <c r="A65" s="8" t="s">
        <v>172</v>
      </c>
      <c r="B65" s="8" t="s">
        <v>173</v>
      </c>
      <c r="C65" s="7">
        <v>45302</v>
      </c>
      <c r="D65" s="8" t="s">
        <v>298</v>
      </c>
      <c r="E65" s="8" t="s">
        <v>549</v>
      </c>
      <c r="F65" s="8" t="s">
        <v>549</v>
      </c>
      <c r="G65" s="8" t="s">
        <v>550</v>
      </c>
      <c r="H65" s="9">
        <v>2415</v>
      </c>
      <c r="I65" s="9">
        <v>698.78</v>
      </c>
      <c r="L65" s="8" t="s">
        <v>78</v>
      </c>
      <c r="M65" s="8" t="s">
        <v>34</v>
      </c>
      <c r="N65" s="8" t="s">
        <v>29</v>
      </c>
      <c r="O65" s="8" t="s">
        <v>14</v>
      </c>
      <c r="P65" s="8" t="s">
        <v>30</v>
      </c>
      <c r="Q65" s="8" t="s">
        <v>549</v>
      </c>
      <c r="R65" s="8" t="s">
        <v>33</v>
      </c>
      <c r="S65" s="8" t="s">
        <v>530</v>
      </c>
      <c r="T65" s="8" t="s">
        <v>31</v>
      </c>
      <c r="U65" s="8" t="s">
        <v>32</v>
      </c>
      <c r="V65" s="8" t="s">
        <v>32</v>
      </c>
      <c r="W65" s="8" t="s">
        <v>33</v>
      </c>
      <c r="X65" s="8" t="s">
        <v>33</v>
      </c>
      <c r="Y65" s="8" t="s">
        <v>33</v>
      </c>
      <c r="Z65" s="8" t="s">
        <v>33</v>
      </c>
      <c r="AA65" s="8" t="s">
        <v>33</v>
      </c>
      <c r="AB65" s="8" t="s">
        <v>32</v>
      </c>
      <c r="AC65" s="8" t="s">
        <v>33</v>
      </c>
      <c r="AD65" s="8" t="s">
        <v>32</v>
      </c>
      <c r="AE65" s="8" t="s">
        <v>32</v>
      </c>
      <c r="AF65" s="4">
        <f t="shared" si="0"/>
        <v>2415</v>
      </c>
      <c r="AG65" s="4">
        <f t="shared" si="1"/>
        <v>698.78</v>
      </c>
      <c r="AH65" s="5" t="s">
        <v>184</v>
      </c>
      <c r="AI65" s="11" t="s">
        <v>218</v>
      </c>
      <c r="AJ65" s="11" t="s">
        <v>543</v>
      </c>
      <c r="AK65" s="11" t="s">
        <v>237</v>
      </c>
    </row>
    <row r="66" spans="1:37" x14ac:dyDescent="0.3">
      <c r="A66" s="8" t="s">
        <v>150</v>
      </c>
      <c r="B66" s="8" t="s">
        <v>151</v>
      </c>
      <c r="C66" s="7">
        <v>45302</v>
      </c>
      <c r="D66" s="8" t="s">
        <v>299</v>
      </c>
      <c r="E66" s="8" t="s">
        <v>549</v>
      </c>
      <c r="F66" s="8" t="s">
        <v>549</v>
      </c>
      <c r="G66" s="8" t="s">
        <v>550</v>
      </c>
      <c r="H66" s="9">
        <v>6038</v>
      </c>
      <c r="I66" s="9">
        <v>1747.11</v>
      </c>
      <c r="L66" s="8" t="s">
        <v>119</v>
      </c>
      <c r="M66" s="8" t="s">
        <v>34</v>
      </c>
      <c r="N66" s="8" t="s">
        <v>29</v>
      </c>
      <c r="O66" s="8" t="s">
        <v>14</v>
      </c>
      <c r="P66" s="8" t="s">
        <v>30</v>
      </c>
      <c r="Q66" s="8" t="s">
        <v>549</v>
      </c>
      <c r="R66" s="8" t="s">
        <v>33</v>
      </c>
      <c r="S66" s="8" t="s">
        <v>530</v>
      </c>
      <c r="T66" s="8" t="s">
        <v>31</v>
      </c>
      <c r="U66" s="8" t="s">
        <v>32</v>
      </c>
      <c r="V66" s="8" t="s">
        <v>32</v>
      </c>
      <c r="W66" s="8" t="s">
        <v>33</v>
      </c>
      <c r="X66" s="8" t="s">
        <v>33</v>
      </c>
      <c r="Y66" s="8" t="s">
        <v>33</v>
      </c>
      <c r="Z66" s="8" t="s">
        <v>33</v>
      </c>
      <c r="AA66" s="8" t="s">
        <v>33</v>
      </c>
      <c r="AB66" s="8" t="s">
        <v>32</v>
      </c>
      <c r="AC66" s="8" t="s">
        <v>33</v>
      </c>
      <c r="AD66" s="8" t="s">
        <v>32</v>
      </c>
      <c r="AE66" s="8" t="s">
        <v>32</v>
      </c>
      <c r="AF66" s="4">
        <f t="shared" ref="AF66:AF129" si="2">+H66-J66</f>
        <v>6038</v>
      </c>
      <c r="AG66" s="4">
        <f t="shared" ref="AG66:AG129" si="3">+I66-K66</f>
        <v>1747.11</v>
      </c>
      <c r="AH66" s="5" t="s">
        <v>184</v>
      </c>
      <c r="AI66" s="11" t="s">
        <v>551</v>
      </c>
      <c r="AJ66" s="11" t="s">
        <v>541</v>
      </c>
      <c r="AK66" s="11" t="s">
        <v>237</v>
      </c>
    </row>
    <row r="67" spans="1:37" x14ac:dyDescent="0.3">
      <c r="A67" s="8" t="s">
        <v>150</v>
      </c>
      <c r="B67" s="8" t="s">
        <v>151</v>
      </c>
      <c r="C67" s="7">
        <v>45302</v>
      </c>
      <c r="D67" s="8" t="s">
        <v>299</v>
      </c>
      <c r="E67" s="8" t="s">
        <v>549</v>
      </c>
      <c r="F67" s="8" t="s">
        <v>549</v>
      </c>
      <c r="G67" s="8" t="s">
        <v>550</v>
      </c>
      <c r="H67" s="9">
        <v>4834</v>
      </c>
      <c r="I67" s="9">
        <v>1398.73</v>
      </c>
      <c r="L67" s="8" t="s">
        <v>119</v>
      </c>
      <c r="M67" s="8" t="s">
        <v>38</v>
      </c>
      <c r="N67" s="8" t="s">
        <v>29</v>
      </c>
      <c r="O67" s="8" t="s">
        <v>14</v>
      </c>
      <c r="P67" s="8" t="s">
        <v>30</v>
      </c>
      <c r="Q67" s="8" t="s">
        <v>549</v>
      </c>
      <c r="R67" s="8" t="s">
        <v>33</v>
      </c>
      <c r="S67" s="8" t="s">
        <v>530</v>
      </c>
      <c r="T67" s="8" t="s">
        <v>31</v>
      </c>
      <c r="U67" s="8" t="s">
        <v>32</v>
      </c>
      <c r="V67" s="8" t="s">
        <v>32</v>
      </c>
      <c r="W67" s="8" t="s">
        <v>33</v>
      </c>
      <c r="X67" s="8" t="s">
        <v>33</v>
      </c>
      <c r="Y67" s="8" t="s">
        <v>33</v>
      </c>
      <c r="Z67" s="8" t="s">
        <v>33</v>
      </c>
      <c r="AA67" s="8" t="s">
        <v>33</v>
      </c>
      <c r="AB67" s="8" t="s">
        <v>32</v>
      </c>
      <c r="AC67" s="8" t="s">
        <v>33</v>
      </c>
      <c r="AD67" s="8" t="s">
        <v>32</v>
      </c>
      <c r="AE67" s="8" t="s">
        <v>32</v>
      </c>
      <c r="AF67" s="4">
        <f t="shared" si="2"/>
        <v>4834</v>
      </c>
      <c r="AG67" s="4">
        <f t="shared" si="3"/>
        <v>1398.73</v>
      </c>
      <c r="AH67" s="5" t="s">
        <v>184</v>
      </c>
      <c r="AI67" s="11" t="s">
        <v>551</v>
      </c>
      <c r="AJ67" s="11" t="s">
        <v>541</v>
      </c>
      <c r="AK67" s="11" t="s">
        <v>237</v>
      </c>
    </row>
    <row r="68" spans="1:37" x14ac:dyDescent="0.3">
      <c r="A68" s="8" t="s">
        <v>101</v>
      </c>
      <c r="B68" s="8" t="s">
        <v>102</v>
      </c>
      <c r="C68" s="7">
        <v>45302</v>
      </c>
      <c r="D68" s="8" t="s">
        <v>300</v>
      </c>
      <c r="E68" s="8" t="s">
        <v>549</v>
      </c>
      <c r="F68" s="8" t="s">
        <v>549</v>
      </c>
      <c r="G68" s="8" t="s">
        <v>550</v>
      </c>
      <c r="H68" s="9">
        <v>1718</v>
      </c>
      <c r="I68" s="9">
        <v>497.11</v>
      </c>
      <c r="L68" s="8" t="s">
        <v>79</v>
      </c>
      <c r="M68" s="8" t="s">
        <v>34</v>
      </c>
      <c r="N68" s="8" t="s">
        <v>35</v>
      </c>
      <c r="O68" s="8" t="s">
        <v>14</v>
      </c>
      <c r="P68" s="8" t="s">
        <v>36</v>
      </c>
      <c r="Q68" s="8" t="s">
        <v>549</v>
      </c>
      <c r="R68" s="8" t="s">
        <v>33</v>
      </c>
      <c r="S68" s="8" t="s">
        <v>530</v>
      </c>
      <c r="T68" s="8" t="s">
        <v>37</v>
      </c>
      <c r="U68" s="8" t="s">
        <v>32</v>
      </c>
      <c r="V68" s="8" t="s">
        <v>32</v>
      </c>
      <c r="W68" s="8" t="s">
        <v>33</v>
      </c>
      <c r="X68" s="8" t="s">
        <v>33</v>
      </c>
      <c r="Y68" s="8" t="s">
        <v>33</v>
      </c>
      <c r="Z68" s="8" t="s">
        <v>33</v>
      </c>
      <c r="AA68" s="8" t="s">
        <v>33</v>
      </c>
      <c r="AB68" s="8" t="s">
        <v>32</v>
      </c>
      <c r="AC68" s="8" t="s">
        <v>33</v>
      </c>
      <c r="AD68" s="8" t="s">
        <v>32</v>
      </c>
      <c r="AE68" s="8" t="s">
        <v>32</v>
      </c>
      <c r="AF68" s="4">
        <f t="shared" si="2"/>
        <v>1718</v>
      </c>
      <c r="AG68" s="4">
        <f t="shared" si="3"/>
        <v>497.11</v>
      </c>
      <c r="AH68" s="5" t="s">
        <v>185</v>
      </c>
      <c r="AI68" s="11" t="s">
        <v>223</v>
      </c>
      <c r="AJ68" s="11" t="s">
        <v>542</v>
      </c>
      <c r="AK68" s="11" t="s">
        <v>238</v>
      </c>
    </row>
    <row r="69" spans="1:37" x14ac:dyDescent="0.3">
      <c r="A69" s="8" t="s">
        <v>160</v>
      </c>
      <c r="B69" s="8" t="s">
        <v>161</v>
      </c>
      <c r="C69" s="7">
        <v>45302</v>
      </c>
      <c r="D69" s="8" t="s">
        <v>301</v>
      </c>
      <c r="E69" s="8" t="s">
        <v>549</v>
      </c>
      <c r="F69" s="8" t="s">
        <v>549</v>
      </c>
      <c r="G69" s="8" t="s">
        <v>550</v>
      </c>
      <c r="H69" s="9">
        <v>6820</v>
      </c>
      <c r="I69" s="9">
        <v>1973.38</v>
      </c>
      <c r="L69" s="8" t="s">
        <v>195</v>
      </c>
      <c r="M69" s="8" t="s">
        <v>34</v>
      </c>
      <c r="N69" s="8" t="s">
        <v>35</v>
      </c>
      <c r="O69" s="8" t="s">
        <v>14</v>
      </c>
      <c r="P69" s="8" t="s">
        <v>36</v>
      </c>
      <c r="Q69" s="8" t="s">
        <v>549</v>
      </c>
      <c r="R69" s="8" t="s">
        <v>33</v>
      </c>
      <c r="S69" s="8" t="s">
        <v>530</v>
      </c>
      <c r="T69" s="8" t="s">
        <v>37</v>
      </c>
      <c r="U69" s="8" t="s">
        <v>32</v>
      </c>
      <c r="V69" s="8" t="s">
        <v>32</v>
      </c>
      <c r="W69" s="8" t="s">
        <v>33</v>
      </c>
      <c r="X69" s="8" t="s">
        <v>33</v>
      </c>
      <c r="Y69" s="8" t="s">
        <v>33</v>
      </c>
      <c r="Z69" s="8" t="s">
        <v>33</v>
      </c>
      <c r="AA69" s="8" t="s">
        <v>33</v>
      </c>
      <c r="AB69" s="8" t="s">
        <v>32</v>
      </c>
      <c r="AC69" s="8" t="s">
        <v>33</v>
      </c>
      <c r="AD69" s="8" t="s">
        <v>32</v>
      </c>
      <c r="AE69" s="8" t="s">
        <v>32</v>
      </c>
      <c r="AF69" s="4">
        <f t="shared" si="2"/>
        <v>6820</v>
      </c>
      <c r="AG69" s="4">
        <f t="shared" si="3"/>
        <v>1973.38</v>
      </c>
      <c r="AH69" s="5" t="s">
        <v>185</v>
      </c>
      <c r="AI69" s="11" t="s">
        <v>216</v>
      </c>
      <c r="AJ69" s="11" t="s">
        <v>540</v>
      </c>
      <c r="AK69" s="11" t="s">
        <v>236</v>
      </c>
    </row>
    <row r="70" spans="1:37" x14ac:dyDescent="0.3">
      <c r="A70" s="8" t="s">
        <v>96</v>
      </c>
      <c r="B70" s="8" t="s">
        <v>97</v>
      </c>
      <c r="C70" s="7">
        <v>45302</v>
      </c>
      <c r="D70" s="8" t="s">
        <v>302</v>
      </c>
      <c r="E70" s="8" t="s">
        <v>549</v>
      </c>
      <c r="F70" s="8" t="s">
        <v>549</v>
      </c>
      <c r="G70" s="8" t="s">
        <v>550</v>
      </c>
      <c r="H70" s="9">
        <v>3315</v>
      </c>
      <c r="I70" s="9">
        <v>959.2</v>
      </c>
      <c r="L70" s="8" t="s">
        <v>79</v>
      </c>
      <c r="M70" s="8" t="s">
        <v>28</v>
      </c>
      <c r="N70" s="8" t="s">
        <v>35</v>
      </c>
      <c r="O70" s="8" t="s">
        <v>14</v>
      </c>
      <c r="P70" s="8" t="s">
        <v>36</v>
      </c>
      <c r="Q70" s="8" t="s">
        <v>549</v>
      </c>
      <c r="R70" s="8" t="s">
        <v>33</v>
      </c>
      <c r="S70" s="8" t="s">
        <v>530</v>
      </c>
      <c r="T70" s="8" t="s">
        <v>37</v>
      </c>
      <c r="U70" s="8" t="s">
        <v>32</v>
      </c>
      <c r="V70" s="8" t="s">
        <v>32</v>
      </c>
      <c r="W70" s="8" t="s">
        <v>33</v>
      </c>
      <c r="X70" s="8" t="s">
        <v>33</v>
      </c>
      <c r="Y70" s="8" t="s">
        <v>33</v>
      </c>
      <c r="Z70" s="8" t="s">
        <v>33</v>
      </c>
      <c r="AA70" s="8" t="s">
        <v>33</v>
      </c>
      <c r="AB70" s="8" t="s">
        <v>32</v>
      </c>
      <c r="AC70" s="8" t="s">
        <v>33</v>
      </c>
      <c r="AD70" s="8" t="s">
        <v>32</v>
      </c>
      <c r="AE70" s="8" t="s">
        <v>32</v>
      </c>
      <c r="AF70" s="4">
        <f t="shared" si="2"/>
        <v>3315</v>
      </c>
      <c r="AG70" s="4">
        <f t="shared" si="3"/>
        <v>959.2</v>
      </c>
      <c r="AH70" s="5" t="s">
        <v>185</v>
      </c>
      <c r="AI70" s="11" t="s">
        <v>221</v>
      </c>
      <c r="AJ70" s="11" t="s">
        <v>542</v>
      </c>
      <c r="AK70" s="11" t="s">
        <v>238</v>
      </c>
    </row>
    <row r="71" spans="1:37" x14ac:dyDescent="0.3">
      <c r="A71" s="8" t="s">
        <v>160</v>
      </c>
      <c r="B71" s="8" t="s">
        <v>161</v>
      </c>
      <c r="C71" s="7">
        <v>45302</v>
      </c>
      <c r="D71" s="8" t="s">
        <v>303</v>
      </c>
      <c r="E71" s="8" t="s">
        <v>549</v>
      </c>
      <c r="F71" s="8" t="s">
        <v>549</v>
      </c>
      <c r="G71" s="8" t="s">
        <v>550</v>
      </c>
      <c r="H71" s="9">
        <v>7996</v>
      </c>
      <c r="I71" s="9">
        <v>2313.66</v>
      </c>
      <c r="L71" s="8" t="s">
        <v>79</v>
      </c>
      <c r="M71" s="8" t="s">
        <v>34</v>
      </c>
      <c r="N71" s="8" t="s">
        <v>35</v>
      </c>
      <c r="O71" s="8" t="s">
        <v>14</v>
      </c>
      <c r="P71" s="8" t="s">
        <v>36</v>
      </c>
      <c r="Q71" s="8" t="s">
        <v>549</v>
      </c>
      <c r="R71" s="8" t="s">
        <v>33</v>
      </c>
      <c r="S71" s="8" t="s">
        <v>530</v>
      </c>
      <c r="T71" s="8" t="s">
        <v>37</v>
      </c>
      <c r="U71" s="8" t="s">
        <v>32</v>
      </c>
      <c r="V71" s="8" t="s">
        <v>32</v>
      </c>
      <c r="W71" s="8" t="s">
        <v>33</v>
      </c>
      <c r="X71" s="8" t="s">
        <v>33</v>
      </c>
      <c r="Y71" s="8" t="s">
        <v>33</v>
      </c>
      <c r="Z71" s="8" t="s">
        <v>33</v>
      </c>
      <c r="AA71" s="8" t="s">
        <v>33</v>
      </c>
      <c r="AB71" s="8" t="s">
        <v>32</v>
      </c>
      <c r="AC71" s="8" t="s">
        <v>33</v>
      </c>
      <c r="AD71" s="8" t="s">
        <v>32</v>
      </c>
      <c r="AE71" s="8" t="s">
        <v>32</v>
      </c>
      <c r="AF71" s="4">
        <f t="shared" si="2"/>
        <v>7996</v>
      </c>
      <c r="AG71" s="4">
        <f t="shared" si="3"/>
        <v>2313.66</v>
      </c>
      <c r="AH71" s="5" t="s">
        <v>185</v>
      </c>
      <c r="AI71" s="11" t="s">
        <v>216</v>
      </c>
      <c r="AJ71" s="11" t="s">
        <v>542</v>
      </c>
      <c r="AK71" s="11" t="s">
        <v>238</v>
      </c>
    </row>
    <row r="72" spans="1:37" x14ac:dyDescent="0.3">
      <c r="A72" s="8" t="s">
        <v>150</v>
      </c>
      <c r="B72" s="8" t="s">
        <v>151</v>
      </c>
      <c r="C72" s="7">
        <v>45302</v>
      </c>
      <c r="D72" s="8" t="s">
        <v>304</v>
      </c>
      <c r="E72" s="8" t="s">
        <v>549</v>
      </c>
      <c r="F72" s="8" t="s">
        <v>549</v>
      </c>
      <c r="G72" s="8" t="s">
        <v>550</v>
      </c>
      <c r="H72" s="9">
        <v>2490</v>
      </c>
      <c r="I72" s="9">
        <v>720.49</v>
      </c>
      <c r="L72" s="8" t="s">
        <v>119</v>
      </c>
      <c r="M72" s="8" t="s">
        <v>28</v>
      </c>
      <c r="N72" s="8" t="s">
        <v>35</v>
      </c>
      <c r="O72" s="8" t="s">
        <v>14</v>
      </c>
      <c r="P72" s="8" t="s">
        <v>36</v>
      </c>
      <c r="Q72" s="8" t="s">
        <v>549</v>
      </c>
      <c r="R72" s="8" t="s">
        <v>33</v>
      </c>
      <c r="S72" s="8" t="s">
        <v>530</v>
      </c>
      <c r="T72" s="8" t="s">
        <v>37</v>
      </c>
      <c r="U72" s="8" t="s">
        <v>32</v>
      </c>
      <c r="V72" s="8" t="s">
        <v>32</v>
      </c>
      <c r="W72" s="8" t="s">
        <v>33</v>
      </c>
      <c r="X72" s="8" t="s">
        <v>33</v>
      </c>
      <c r="Y72" s="8" t="s">
        <v>33</v>
      </c>
      <c r="Z72" s="8" t="s">
        <v>33</v>
      </c>
      <c r="AA72" s="8" t="s">
        <v>33</v>
      </c>
      <c r="AB72" s="8" t="s">
        <v>32</v>
      </c>
      <c r="AC72" s="8" t="s">
        <v>33</v>
      </c>
      <c r="AD72" s="8" t="s">
        <v>32</v>
      </c>
      <c r="AE72" s="8" t="s">
        <v>32</v>
      </c>
      <c r="AF72" s="4">
        <f t="shared" si="2"/>
        <v>2490</v>
      </c>
      <c r="AG72" s="4">
        <f t="shared" si="3"/>
        <v>720.49</v>
      </c>
      <c r="AH72" s="5" t="s">
        <v>184</v>
      </c>
      <c r="AI72" s="11" t="s">
        <v>551</v>
      </c>
      <c r="AJ72" s="11" t="s">
        <v>541</v>
      </c>
      <c r="AK72" s="11" t="s">
        <v>237</v>
      </c>
    </row>
    <row r="73" spans="1:37" x14ac:dyDescent="0.3">
      <c r="A73" s="8" t="s">
        <v>150</v>
      </c>
      <c r="B73" s="8" t="s">
        <v>151</v>
      </c>
      <c r="C73" s="7">
        <v>45302</v>
      </c>
      <c r="D73" s="8" t="s">
        <v>305</v>
      </c>
      <c r="E73" s="8" t="s">
        <v>549</v>
      </c>
      <c r="F73" s="8" t="s">
        <v>549</v>
      </c>
      <c r="G73" s="8" t="s">
        <v>550</v>
      </c>
      <c r="H73" s="9">
        <v>8097</v>
      </c>
      <c r="I73" s="9">
        <v>2342.88</v>
      </c>
      <c r="L73" s="8" t="s">
        <v>135</v>
      </c>
      <c r="M73" s="8" t="s">
        <v>34</v>
      </c>
      <c r="N73" s="8" t="s">
        <v>35</v>
      </c>
      <c r="O73" s="8" t="s">
        <v>14</v>
      </c>
      <c r="P73" s="8" t="s">
        <v>36</v>
      </c>
      <c r="Q73" s="8" t="s">
        <v>549</v>
      </c>
      <c r="R73" s="8" t="s">
        <v>33</v>
      </c>
      <c r="S73" s="8" t="s">
        <v>530</v>
      </c>
      <c r="T73" s="8" t="s">
        <v>37</v>
      </c>
      <c r="U73" s="8" t="s">
        <v>32</v>
      </c>
      <c r="V73" s="8" t="s">
        <v>32</v>
      </c>
      <c r="W73" s="8" t="s">
        <v>33</v>
      </c>
      <c r="X73" s="8" t="s">
        <v>33</v>
      </c>
      <c r="Y73" s="8" t="s">
        <v>33</v>
      </c>
      <c r="Z73" s="8" t="s">
        <v>33</v>
      </c>
      <c r="AA73" s="8" t="s">
        <v>33</v>
      </c>
      <c r="AB73" s="8" t="s">
        <v>32</v>
      </c>
      <c r="AC73" s="8" t="s">
        <v>33</v>
      </c>
      <c r="AD73" s="8" t="s">
        <v>32</v>
      </c>
      <c r="AE73" s="8" t="s">
        <v>32</v>
      </c>
      <c r="AF73" s="4">
        <f t="shared" si="2"/>
        <v>8097</v>
      </c>
      <c r="AG73" s="4">
        <f t="shared" si="3"/>
        <v>2342.88</v>
      </c>
      <c r="AH73" s="5" t="s">
        <v>184</v>
      </c>
      <c r="AI73" s="11" t="s">
        <v>551</v>
      </c>
      <c r="AJ73" s="11" t="s">
        <v>544</v>
      </c>
      <c r="AK73" s="11" t="s">
        <v>237</v>
      </c>
    </row>
    <row r="74" spans="1:37" x14ac:dyDescent="0.3">
      <c r="A74" s="8" t="s">
        <v>150</v>
      </c>
      <c r="B74" s="8" t="s">
        <v>151</v>
      </c>
      <c r="C74" s="7">
        <v>45302</v>
      </c>
      <c r="D74" s="8" t="s">
        <v>306</v>
      </c>
      <c r="E74" s="8" t="s">
        <v>549</v>
      </c>
      <c r="F74" s="8" t="s">
        <v>549</v>
      </c>
      <c r="G74" s="8" t="s">
        <v>550</v>
      </c>
      <c r="H74" s="9">
        <v>3801</v>
      </c>
      <c r="I74" s="9">
        <v>1099.83</v>
      </c>
      <c r="L74" s="8" t="s">
        <v>135</v>
      </c>
      <c r="M74" s="8" t="s">
        <v>34</v>
      </c>
      <c r="N74" s="8" t="s">
        <v>35</v>
      </c>
      <c r="O74" s="8" t="s">
        <v>14</v>
      </c>
      <c r="P74" s="8" t="s">
        <v>36</v>
      </c>
      <c r="Q74" s="8" t="s">
        <v>549</v>
      </c>
      <c r="R74" s="8" t="s">
        <v>33</v>
      </c>
      <c r="S74" s="8" t="s">
        <v>530</v>
      </c>
      <c r="T74" s="8" t="s">
        <v>37</v>
      </c>
      <c r="U74" s="8" t="s">
        <v>32</v>
      </c>
      <c r="V74" s="8" t="s">
        <v>32</v>
      </c>
      <c r="W74" s="8" t="s">
        <v>33</v>
      </c>
      <c r="X74" s="8" t="s">
        <v>33</v>
      </c>
      <c r="Y74" s="8" t="s">
        <v>33</v>
      </c>
      <c r="Z74" s="8" t="s">
        <v>33</v>
      </c>
      <c r="AA74" s="8" t="s">
        <v>33</v>
      </c>
      <c r="AB74" s="8" t="s">
        <v>32</v>
      </c>
      <c r="AC74" s="8" t="s">
        <v>33</v>
      </c>
      <c r="AD74" s="8" t="s">
        <v>32</v>
      </c>
      <c r="AE74" s="8" t="s">
        <v>32</v>
      </c>
      <c r="AF74" s="4">
        <f t="shared" si="2"/>
        <v>3801</v>
      </c>
      <c r="AG74" s="4">
        <f t="shared" si="3"/>
        <v>1099.83</v>
      </c>
      <c r="AH74" s="5" t="s">
        <v>184</v>
      </c>
      <c r="AI74" s="11" t="s">
        <v>551</v>
      </c>
      <c r="AJ74" s="11" t="s">
        <v>544</v>
      </c>
      <c r="AK74" s="11" t="s">
        <v>237</v>
      </c>
    </row>
    <row r="75" spans="1:37" x14ac:dyDescent="0.3">
      <c r="A75" s="8" t="s">
        <v>150</v>
      </c>
      <c r="B75" s="8" t="s">
        <v>151</v>
      </c>
      <c r="C75" s="7">
        <v>45302</v>
      </c>
      <c r="D75" s="8" t="s">
        <v>307</v>
      </c>
      <c r="E75" s="8" t="s">
        <v>549</v>
      </c>
      <c r="F75" s="8" t="s">
        <v>549</v>
      </c>
      <c r="G75" s="8" t="s">
        <v>550</v>
      </c>
      <c r="H75" s="9">
        <v>252</v>
      </c>
      <c r="I75" s="9">
        <v>72.92</v>
      </c>
      <c r="L75" s="8" t="s">
        <v>135</v>
      </c>
      <c r="M75" s="8" t="s">
        <v>34</v>
      </c>
      <c r="N75" s="8" t="s">
        <v>35</v>
      </c>
      <c r="O75" s="8" t="s">
        <v>14</v>
      </c>
      <c r="P75" s="8" t="s">
        <v>36</v>
      </c>
      <c r="Q75" s="8" t="s">
        <v>549</v>
      </c>
      <c r="R75" s="8" t="s">
        <v>33</v>
      </c>
      <c r="S75" s="8" t="s">
        <v>530</v>
      </c>
      <c r="T75" s="8" t="s">
        <v>37</v>
      </c>
      <c r="U75" s="8" t="s">
        <v>32</v>
      </c>
      <c r="V75" s="8" t="s">
        <v>32</v>
      </c>
      <c r="W75" s="8" t="s">
        <v>33</v>
      </c>
      <c r="X75" s="8" t="s">
        <v>33</v>
      </c>
      <c r="Y75" s="8" t="s">
        <v>33</v>
      </c>
      <c r="Z75" s="8" t="s">
        <v>33</v>
      </c>
      <c r="AA75" s="8" t="s">
        <v>33</v>
      </c>
      <c r="AB75" s="8" t="s">
        <v>32</v>
      </c>
      <c r="AC75" s="8" t="s">
        <v>33</v>
      </c>
      <c r="AD75" s="8" t="s">
        <v>32</v>
      </c>
      <c r="AE75" s="8" t="s">
        <v>32</v>
      </c>
      <c r="AF75" s="4">
        <f t="shared" si="2"/>
        <v>252</v>
      </c>
      <c r="AG75" s="4">
        <f t="shared" si="3"/>
        <v>72.92</v>
      </c>
      <c r="AH75" s="5" t="s">
        <v>184</v>
      </c>
      <c r="AI75" s="11" t="s">
        <v>551</v>
      </c>
      <c r="AJ75" s="11" t="s">
        <v>544</v>
      </c>
      <c r="AK75" s="11" t="s">
        <v>237</v>
      </c>
    </row>
    <row r="76" spans="1:37" x14ac:dyDescent="0.3">
      <c r="A76" s="8" t="s">
        <v>170</v>
      </c>
      <c r="B76" s="8" t="s">
        <v>171</v>
      </c>
      <c r="C76" s="7">
        <v>45302</v>
      </c>
      <c r="D76" s="8" t="s">
        <v>308</v>
      </c>
      <c r="E76" s="8" t="s">
        <v>549</v>
      </c>
      <c r="F76" s="8" t="s">
        <v>549</v>
      </c>
      <c r="G76" s="8" t="s">
        <v>550</v>
      </c>
      <c r="H76" s="9">
        <v>475</v>
      </c>
      <c r="I76" s="9">
        <v>137.44</v>
      </c>
      <c r="L76" s="8" t="s">
        <v>195</v>
      </c>
      <c r="M76" s="8" t="s">
        <v>34</v>
      </c>
      <c r="N76" s="8" t="s">
        <v>35</v>
      </c>
      <c r="O76" s="8" t="s">
        <v>14</v>
      </c>
      <c r="P76" s="8" t="s">
        <v>36</v>
      </c>
      <c r="Q76" s="8" t="s">
        <v>549</v>
      </c>
      <c r="R76" s="8" t="s">
        <v>33</v>
      </c>
      <c r="S76" s="8" t="s">
        <v>530</v>
      </c>
      <c r="T76" s="8" t="s">
        <v>37</v>
      </c>
      <c r="U76" s="8" t="s">
        <v>32</v>
      </c>
      <c r="V76" s="8" t="s">
        <v>32</v>
      </c>
      <c r="W76" s="8" t="s">
        <v>33</v>
      </c>
      <c r="X76" s="8" t="s">
        <v>33</v>
      </c>
      <c r="Y76" s="8" t="s">
        <v>33</v>
      </c>
      <c r="Z76" s="8" t="s">
        <v>33</v>
      </c>
      <c r="AA76" s="8" t="s">
        <v>33</v>
      </c>
      <c r="AB76" s="8" t="s">
        <v>32</v>
      </c>
      <c r="AC76" s="8" t="s">
        <v>33</v>
      </c>
      <c r="AD76" s="8" t="s">
        <v>32</v>
      </c>
      <c r="AE76" s="8" t="s">
        <v>32</v>
      </c>
      <c r="AF76" s="4">
        <f t="shared" si="2"/>
        <v>475</v>
      </c>
      <c r="AG76" s="4">
        <f t="shared" si="3"/>
        <v>137.44</v>
      </c>
      <c r="AH76" s="5" t="s">
        <v>185</v>
      </c>
      <c r="AI76" s="11" t="s">
        <v>231</v>
      </c>
      <c r="AJ76" s="11" t="s">
        <v>540</v>
      </c>
      <c r="AK76" s="11" t="s">
        <v>236</v>
      </c>
    </row>
    <row r="77" spans="1:37" x14ac:dyDescent="0.3">
      <c r="A77" s="8" t="s">
        <v>101</v>
      </c>
      <c r="B77" s="8" t="s">
        <v>102</v>
      </c>
      <c r="C77" s="7">
        <v>45302</v>
      </c>
      <c r="D77" s="8" t="s">
        <v>309</v>
      </c>
      <c r="E77" s="8" t="s">
        <v>549</v>
      </c>
      <c r="F77" s="8" t="s">
        <v>549</v>
      </c>
      <c r="G77" s="8" t="s">
        <v>550</v>
      </c>
      <c r="H77" s="9">
        <v>4284</v>
      </c>
      <c r="I77" s="9">
        <v>1239.58</v>
      </c>
      <c r="L77" s="8" t="s">
        <v>77</v>
      </c>
      <c r="M77" s="8" t="s">
        <v>34</v>
      </c>
      <c r="N77" s="8" t="s">
        <v>35</v>
      </c>
      <c r="O77" s="8" t="s">
        <v>14</v>
      </c>
      <c r="P77" s="8" t="s">
        <v>36</v>
      </c>
      <c r="Q77" s="8" t="s">
        <v>549</v>
      </c>
      <c r="R77" s="8" t="s">
        <v>33</v>
      </c>
      <c r="S77" s="8" t="s">
        <v>530</v>
      </c>
      <c r="T77" s="8" t="s">
        <v>37</v>
      </c>
      <c r="U77" s="8" t="s">
        <v>32</v>
      </c>
      <c r="V77" s="8" t="s">
        <v>32</v>
      </c>
      <c r="W77" s="8" t="s">
        <v>33</v>
      </c>
      <c r="X77" s="8" t="s">
        <v>33</v>
      </c>
      <c r="Y77" s="8" t="s">
        <v>33</v>
      </c>
      <c r="Z77" s="8" t="s">
        <v>33</v>
      </c>
      <c r="AA77" s="8" t="s">
        <v>33</v>
      </c>
      <c r="AB77" s="8" t="s">
        <v>32</v>
      </c>
      <c r="AC77" s="8" t="s">
        <v>33</v>
      </c>
      <c r="AD77" s="8" t="s">
        <v>32</v>
      </c>
      <c r="AE77" s="8" t="s">
        <v>32</v>
      </c>
      <c r="AF77" s="4">
        <f t="shared" si="2"/>
        <v>4284</v>
      </c>
      <c r="AG77" s="4">
        <f t="shared" si="3"/>
        <v>1239.58</v>
      </c>
      <c r="AH77" s="5" t="s">
        <v>185</v>
      </c>
      <c r="AI77" s="11" t="s">
        <v>223</v>
      </c>
      <c r="AJ77" s="11" t="s">
        <v>211</v>
      </c>
      <c r="AK77" s="11" t="s">
        <v>235</v>
      </c>
    </row>
    <row r="78" spans="1:37" x14ac:dyDescent="0.3">
      <c r="A78" s="8" t="s">
        <v>158</v>
      </c>
      <c r="B78" s="8" t="s">
        <v>159</v>
      </c>
      <c r="C78" s="7">
        <v>45302</v>
      </c>
      <c r="D78" s="8" t="s">
        <v>310</v>
      </c>
      <c r="E78" s="8" t="s">
        <v>549</v>
      </c>
      <c r="F78" s="8" t="s">
        <v>549</v>
      </c>
      <c r="G78" s="8" t="s">
        <v>550</v>
      </c>
      <c r="H78" s="9">
        <v>5185</v>
      </c>
      <c r="I78" s="9">
        <v>1500.29</v>
      </c>
      <c r="L78" s="8" t="s">
        <v>93</v>
      </c>
      <c r="M78" s="8" t="s">
        <v>34</v>
      </c>
      <c r="N78" s="8" t="s">
        <v>35</v>
      </c>
      <c r="O78" s="8" t="s">
        <v>14</v>
      </c>
      <c r="P78" s="8" t="s">
        <v>36</v>
      </c>
      <c r="Q78" s="8" t="s">
        <v>549</v>
      </c>
      <c r="R78" s="8" t="s">
        <v>33</v>
      </c>
      <c r="S78" s="8" t="s">
        <v>530</v>
      </c>
      <c r="T78" s="8" t="s">
        <v>37</v>
      </c>
      <c r="U78" s="8" t="s">
        <v>32</v>
      </c>
      <c r="V78" s="8" t="s">
        <v>32</v>
      </c>
      <c r="W78" s="8" t="s">
        <v>33</v>
      </c>
      <c r="X78" s="8" t="s">
        <v>33</v>
      </c>
      <c r="Y78" s="8" t="s">
        <v>33</v>
      </c>
      <c r="Z78" s="8" t="s">
        <v>33</v>
      </c>
      <c r="AA78" s="8" t="s">
        <v>33</v>
      </c>
      <c r="AB78" s="8" t="s">
        <v>32</v>
      </c>
      <c r="AC78" s="8" t="s">
        <v>33</v>
      </c>
      <c r="AD78" s="8" t="s">
        <v>32</v>
      </c>
      <c r="AE78" s="8" t="s">
        <v>32</v>
      </c>
      <c r="AF78" s="4">
        <f t="shared" si="2"/>
        <v>5185</v>
      </c>
      <c r="AG78" s="4">
        <f t="shared" si="3"/>
        <v>1500.29</v>
      </c>
      <c r="AH78" s="5" t="s">
        <v>185</v>
      </c>
      <c r="AI78" s="11" t="s">
        <v>224</v>
      </c>
      <c r="AJ78" s="11" t="s">
        <v>206</v>
      </c>
      <c r="AK78" s="11" t="s">
        <v>235</v>
      </c>
    </row>
    <row r="79" spans="1:37" x14ac:dyDescent="0.3">
      <c r="A79" s="8" t="s">
        <v>150</v>
      </c>
      <c r="B79" s="8" t="s">
        <v>151</v>
      </c>
      <c r="C79" s="7">
        <v>45302</v>
      </c>
      <c r="D79" s="8" t="s">
        <v>311</v>
      </c>
      <c r="E79" s="8" t="s">
        <v>549</v>
      </c>
      <c r="F79" s="8" t="s">
        <v>549</v>
      </c>
      <c r="G79" s="8" t="s">
        <v>550</v>
      </c>
      <c r="H79" s="9">
        <v>3166</v>
      </c>
      <c r="I79" s="9">
        <v>916.09</v>
      </c>
      <c r="L79" s="8" t="s">
        <v>119</v>
      </c>
      <c r="M79" s="8" t="s">
        <v>34</v>
      </c>
      <c r="N79" s="8" t="s">
        <v>35</v>
      </c>
      <c r="O79" s="8" t="s">
        <v>14</v>
      </c>
      <c r="P79" s="8" t="s">
        <v>36</v>
      </c>
      <c r="Q79" s="8" t="s">
        <v>549</v>
      </c>
      <c r="R79" s="8" t="s">
        <v>33</v>
      </c>
      <c r="S79" s="8" t="s">
        <v>530</v>
      </c>
      <c r="T79" s="8" t="s">
        <v>37</v>
      </c>
      <c r="U79" s="8" t="s">
        <v>32</v>
      </c>
      <c r="V79" s="8" t="s">
        <v>32</v>
      </c>
      <c r="W79" s="8" t="s">
        <v>33</v>
      </c>
      <c r="X79" s="8" t="s">
        <v>33</v>
      </c>
      <c r="Y79" s="8" t="s">
        <v>33</v>
      </c>
      <c r="Z79" s="8" t="s">
        <v>33</v>
      </c>
      <c r="AA79" s="8" t="s">
        <v>33</v>
      </c>
      <c r="AB79" s="8" t="s">
        <v>32</v>
      </c>
      <c r="AC79" s="8" t="s">
        <v>33</v>
      </c>
      <c r="AD79" s="8" t="s">
        <v>32</v>
      </c>
      <c r="AE79" s="8" t="s">
        <v>32</v>
      </c>
      <c r="AF79" s="4">
        <f t="shared" si="2"/>
        <v>3166</v>
      </c>
      <c r="AG79" s="4">
        <f t="shared" si="3"/>
        <v>916.09</v>
      </c>
      <c r="AH79" s="5" t="s">
        <v>184</v>
      </c>
      <c r="AI79" s="11" t="s">
        <v>551</v>
      </c>
      <c r="AJ79" s="11" t="s">
        <v>541</v>
      </c>
      <c r="AK79" s="11" t="s">
        <v>237</v>
      </c>
    </row>
    <row r="80" spans="1:37" x14ac:dyDescent="0.3">
      <c r="A80" s="8" t="s">
        <v>150</v>
      </c>
      <c r="B80" s="8" t="s">
        <v>151</v>
      </c>
      <c r="C80" s="7">
        <v>45302</v>
      </c>
      <c r="D80" s="8" t="s">
        <v>312</v>
      </c>
      <c r="E80" s="8" t="s">
        <v>549</v>
      </c>
      <c r="F80" s="8" t="s">
        <v>549</v>
      </c>
      <c r="G80" s="8" t="s">
        <v>550</v>
      </c>
      <c r="H80" s="9">
        <v>2249</v>
      </c>
      <c r="I80" s="9">
        <v>650.75</v>
      </c>
      <c r="L80" s="8" t="s">
        <v>119</v>
      </c>
      <c r="M80" s="8" t="s">
        <v>34</v>
      </c>
      <c r="N80" s="8" t="s">
        <v>35</v>
      </c>
      <c r="O80" s="8" t="s">
        <v>14</v>
      </c>
      <c r="P80" s="8" t="s">
        <v>36</v>
      </c>
      <c r="Q80" s="8" t="s">
        <v>549</v>
      </c>
      <c r="R80" s="8" t="s">
        <v>33</v>
      </c>
      <c r="S80" s="8" t="s">
        <v>530</v>
      </c>
      <c r="T80" s="8" t="s">
        <v>37</v>
      </c>
      <c r="U80" s="8" t="s">
        <v>32</v>
      </c>
      <c r="V80" s="8" t="s">
        <v>32</v>
      </c>
      <c r="W80" s="8" t="s">
        <v>33</v>
      </c>
      <c r="X80" s="8" t="s">
        <v>33</v>
      </c>
      <c r="Y80" s="8" t="s">
        <v>33</v>
      </c>
      <c r="Z80" s="8" t="s">
        <v>33</v>
      </c>
      <c r="AA80" s="8" t="s">
        <v>33</v>
      </c>
      <c r="AB80" s="8" t="s">
        <v>32</v>
      </c>
      <c r="AC80" s="8" t="s">
        <v>33</v>
      </c>
      <c r="AD80" s="8" t="s">
        <v>32</v>
      </c>
      <c r="AE80" s="8" t="s">
        <v>32</v>
      </c>
      <c r="AF80" s="4">
        <f t="shared" si="2"/>
        <v>2249</v>
      </c>
      <c r="AG80" s="4">
        <f t="shared" si="3"/>
        <v>650.75</v>
      </c>
      <c r="AH80" s="5" t="s">
        <v>184</v>
      </c>
      <c r="AI80" s="11" t="s">
        <v>551</v>
      </c>
      <c r="AJ80" s="11" t="s">
        <v>541</v>
      </c>
      <c r="AK80" s="11" t="s">
        <v>237</v>
      </c>
    </row>
    <row r="81" spans="1:37" x14ac:dyDescent="0.3">
      <c r="A81" s="8" t="s">
        <v>111</v>
      </c>
      <c r="B81" s="8" t="s">
        <v>112</v>
      </c>
      <c r="C81" s="7">
        <v>45302</v>
      </c>
      <c r="D81" s="8" t="s">
        <v>313</v>
      </c>
      <c r="E81" s="8" t="s">
        <v>549</v>
      </c>
      <c r="F81" s="8" t="s">
        <v>549</v>
      </c>
      <c r="G81" s="8" t="s">
        <v>550</v>
      </c>
      <c r="H81" s="9">
        <v>121</v>
      </c>
      <c r="I81" s="9">
        <v>35.01</v>
      </c>
      <c r="L81" s="8" t="s">
        <v>100</v>
      </c>
      <c r="M81" s="8" t="s">
        <v>34</v>
      </c>
      <c r="N81" s="8" t="s">
        <v>35</v>
      </c>
      <c r="O81" s="8" t="s">
        <v>14</v>
      </c>
      <c r="P81" s="8" t="s">
        <v>36</v>
      </c>
      <c r="Q81" s="8" t="s">
        <v>549</v>
      </c>
      <c r="R81" s="8" t="s">
        <v>33</v>
      </c>
      <c r="S81" s="8" t="s">
        <v>530</v>
      </c>
      <c r="T81" s="8" t="s">
        <v>37</v>
      </c>
      <c r="U81" s="8" t="s">
        <v>32</v>
      </c>
      <c r="V81" s="8" t="s">
        <v>32</v>
      </c>
      <c r="W81" s="8" t="s">
        <v>33</v>
      </c>
      <c r="X81" s="8" t="s">
        <v>33</v>
      </c>
      <c r="Y81" s="8" t="s">
        <v>33</v>
      </c>
      <c r="Z81" s="8" t="s">
        <v>33</v>
      </c>
      <c r="AA81" s="8" t="s">
        <v>33</v>
      </c>
      <c r="AB81" s="8" t="s">
        <v>32</v>
      </c>
      <c r="AC81" s="8" t="s">
        <v>33</v>
      </c>
      <c r="AD81" s="8" t="s">
        <v>32</v>
      </c>
      <c r="AE81" s="8" t="s">
        <v>32</v>
      </c>
      <c r="AF81" s="4">
        <f t="shared" si="2"/>
        <v>121</v>
      </c>
      <c r="AG81" s="4">
        <f t="shared" si="3"/>
        <v>35.01</v>
      </c>
      <c r="AH81" s="5" t="s">
        <v>185</v>
      </c>
      <c r="AI81" s="11" t="s">
        <v>229</v>
      </c>
      <c r="AJ81" s="11" t="s">
        <v>212</v>
      </c>
      <c r="AK81" s="11" t="s">
        <v>235</v>
      </c>
    </row>
    <row r="82" spans="1:37" x14ac:dyDescent="0.3">
      <c r="A82" s="8" t="s">
        <v>85</v>
      </c>
      <c r="B82" s="8" t="s">
        <v>86</v>
      </c>
      <c r="C82" s="7">
        <v>45302</v>
      </c>
      <c r="D82" s="8" t="s">
        <v>314</v>
      </c>
      <c r="E82" s="8" t="s">
        <v>549</v>
      </c>
      <c r="F82" s="8" t="s">
        <v>549</v>
      </c>
      <c r="G82" s="8" t="s">
        <v>550</v>
      </c>
      <c r="H82" s="9">
        <v>3005</v>
      </c>
      <c r="I82" s="9">
        <v>869.5</v>
      </c>
      <c r="L82" s="8" t="s">
        <v>77</v>
      </c>
      <c r="M82" s="8" t="s">
        <v>34</v>
      </c>
      <c r="N82" s="8" t="s">
        <v>35</v>
      </c>
      <c r="O82" s="8" t="s">
        <v>14</v>
      </c>
      <c r="P82" s="8" t="s">
        <v>36</v>
      </c>
      <c r="Q82" s="8" t="s">
        <v>549</v>
      </c>
      <c r="R82" s="8" t="s">
        <v>33</v>
      </c>
      <c r="S82" s="8" t="s">
        <v>530</v>
      </c>
      <c r="T82" s="8" t="s">
        <v>37</v>
      </c>
      <c r="U82" s="8" t="s">
        <v>32</v>
      </c>
      <c r="V82" s="8" t="s">
        <v>32</v>
      </c>
      <c r="W82" s="8" t="s">
        <v>33</v>
      </c>
      <c r="X82" s="8" t="s">
        <v>33</v>
      </c>
      <c r="Y82" s="8" t="s">
        <v>33</v>
      </c>
      <c r="Z82" s="8" t="s">
        <v>33</v>
      </c>
      <c r="AA82" s="8" t="s">
        <v>33</v>
      </c>
      <c r="AB82" s="8" t="s">
        <v>32</v>
      </c>
      <c r="AC82" s="8" t="s">
        <v>33</v>
      </c>
      <c r="AD82" s="8" t="s">
        <v>32</v>
      </c>
      <c r="AE82" s="8" t="s">
        <v>32</v>
      </c>
      <c r="AF82" s="4">
        <f t="shared" si="2"/>
        <v>3005</v>
      </c>
      <c r="AG82" s="4">
        <f t="shared" si="3"/>
        <v>869.5</v>
      </c>
      <c r="AH82" s="5" t="s">
        <v>185</v>
      </c>
      <c r="AI82" s="11" t="s">
        <v>213</v>
      </c>
      <c r="AJ82" s="11" t="s">
        <v>211</v>
      </c>
      <c r="AK82" s="11" t="s">
        <v>235</v>
      </c>
    </row>
    <row r="83" spans="1:37" x14ac:dyDescent="0.3">
      <c r="A83" s="8" t="s">
        <v>101</v>
      </c>
      <c r="B83" s="8" t="s">
        <v>102</v>
      </c>
      <c r="C83" s="7">
        <v>45302</v>
      </c>
      <c r="D83" s="8" t="s">
        <v>315</v>
      </c>
      <c r="E83" s="8" t="s">
        <v>549</v>
      </c>
      <c r="F83" s="8" t="s">
        <v>549</v>
      </c>
      <c r="G83" s="8" t="s">
        <v>550</v>
      </c>
      <c r="H83" s="9">
        <v>1319</v>
      </c>
      <c r="I83" s="9">
        <v>381.66</v>
      </c>
      <c r="L83" s="8" t="s">
        <v>195</v>
      </c>
      <c r="M83" s="8" t="s">
        <v>34</v>
      </c>
      <c r="N83" s="8" t="s">
        <v>35</v>
      </c>
      <c r="O83" s="8" t="s">
        <v>14</v>
      </c>
      <c r="P83" s="8" t="s">
        <v>36</v>
      </c>
      <c r="Q83" s="8" t="s">
        <v>549</v>
      </c>
      <c r="R83" s="8" t="s">
        <v>33</v>
      </c>
      <c r="S83" s="8" t="s">
        <v>530</v>
      </c>
      <c r="T83" s="8" t="s">
        <v>37</v>
      </c>
      <c r="U83" s="8" t="s">
        <v>32</v>
      </c>
      <c r="V83" s="8" t="s">
        <v>32</v>
      </c>
      <c r="W83" s="8" t="s">
        <v>33</v>
      </c>
      <c r="X83" s="8" t="s">
        <v>33</v>
      </c>
      <c r="Y83" s="8" t="s">
        <v>33</v>
      </c>
      <c r="Z83" s="8" t="s">
        <v>33</v>
      </c>
      <c r="AA83" s="8" t="s">
        <v>33</v>
      </c>
      <c r="AB83" s="8" t="s">
        <v>32</v>
      </c>
      <c r="AC83" s="8" t="s">
        <v>33</v>
      </c>
      <c r="AD83" s="8" t="s">
        <v>32</v>
      </c>
      <c r="AE83" s="8" t="s">
        <v>32</v>
      </c>
      <c r="AF83" s="4">
        <f t="shared" si="2"/>
        <v>1319</v>
      </c>
      <c r="AG83" s="4">
        <f t="shared" si="3"/>
        <v>381.66</v>
      </c>
      <c r="AH83" s="5" t="s">
        <v>185</v>
      </c>
      <c r="AI83" s="11" t="s">
        <v>223</v>
      </c>
      <c r="AJ83" s="11" t="s">
        <v>540</v>
      </c>
      <c r="AK83" s="11" t="s">
        <v>236</v>
      </c>
    </row>
    <row r="84" spans="1:37" x14ac:dyDescent="0.3">
      <c r="A84" s="8" t="s">
        <v>160</v>
      </c>
      <c r="B84" s="8" t="s">
        <v>161</v>
      </c>
      <c r="C84" s="7">
        <v>45302</v>
      </c>
      <c r="D84" s="8" t="s">
        <v>316</v>
      </c>
      <c r="E84" s="8" t="s">
        <v>549</v>
      </c>
      <c r="F84" s="8" t="s">
        <v>549</v>
      </c>
      <c r="G84" s="8" t="s">
        <v>550</v>
      </c>
      <c r="H84" s="9">
        <v>4977</v>
      </c>
      <c r="I84" s="9">
        <v>1440.1</v>
      </c>
      <c r="L84" s="8" t="s">
        <v>195</v>
      </c>
      <c r="M84" s="8" t="s">
        <v>34</v>
      </c>
      <c r="N84" s="8" t="s">
        <v>35</v>
      </c>
      <c r="O84" s="8" t="s">
        <v>14</v>
      </c>
      <c r="P84" s="8" t="s">
        <v>36</v>
      </c>
      <c r="Q84" s="8" t="s">
        <v>549</v>
      </c>
      <c r="R84" s="8" t="s">
        <v>33</v>
      </c>
      <c r="S84" s="8" t="s">
        <v>530</v>
      </c>
      <c r="T84" s="8" t="s">
        <v>37</v>
      </c>
      <c r="U84" s="8" t="s">
        <v>32</v>
      </c>
      <c r="V84" s="8" t="s">
        <v>32</v>
      </c>
      <c r="W84" s="8" t="s">
        <v>33</v>
      </c>
      <c r="X84" s="8" t="s">
        <v>33</v>
      </c>
      <c r="Y84" s="8" t="s">
        <v>33</v>
      </c>
      <c r="Z84" s="8" t="s">
        <v>33</v>
      </c>
      <c r="AA84" s="8" t="s">
        <v>33</v>
      </c>
      <c r="AB84" s="8" t="s">
        <v>32</v>
      </c>
      <c r="AC84" s="8" t="s">
        <v>33</v>
      </c>
      <c r="AD84" s="8" t="s">
        <v>32</v>
      </c>
      <c r="AE84" s="8" t="s">
        <v>32</v>
      </c>
      <c r="AF84" s="4">
        <f t="shared" si="2"/>
        <v>4977</v>
      </c>
      <c r="AG84" s="4">
        <f t="shared" si="3"/>
        <v>1440.1</v>
      </c>
      <c r="AH84" s="5" t="s">
        <v>185</v>
      </c>
      <c r="AI84" s="11" t="s">
        <v>216</v>
      </c>
      <c r="AJ84" s="11" t="s">
        <v>540</v>
      </c>
      <c r="AK84" s="11" t="s">
        <v>236</v>
      </c>
    </row>
    <row r="85" spans="1:37" x14ac:dyDescent="0.3">
      <c r="A85" s="8" t="s">
        <v>127</v>
      </c>
      <c r="B85" s="8" t="s">
        <v>128</v>
      </c>
      <c r="C85" s="7">
        <v>45302</v>
      </c>
      <c r="D85" s="8" t="s">
        <v>317</v>
      </c>
      <c r="E85" s="8" t="s">
        <v>549</v>
      </c>
      <c r="F85" s="8" t="s">
        <v>549</v>
      </c>
      <c r="G85" s="8" t="s">
        <v>550</v>
      </c>
      <c r="H85" s="9">
        <v>5042</v>
      </c>
      <c r="I85" s="9">
        <v>1458.91</v>
      </c>
      <c r="L85" s="8" t="s">
        <v>77</v>
      </c>
      <c r="M85" s="8" t="s">
        <v>34</v>
      </c>
      <c r="N85" s="8" t="s">
        <v>35</v>
      </c>
      <c r="O85" s="8" t="s">
        <v>14</v>
      </c>
      <c r="P85" s="8" t="s">
        <v>36</v>
      </c>
      <c r="Q85" s="8" t="s">
        <v>549</v>
      </c>
      <c r="R85" s="8" t="s">
        <v>33</v>
      </c>
      <c r="S85" s="8" t="s">
        <v>530</v>
      </c>
      <c r="T85" s="8" t="s">
        <v>37</v>
      </c>
      <c r="U85" s="8" t="s">
        <v>32</v>
      </c>
      <c r="V85" s="8" t="s">
        <v>32</v>
      </c>
      <c r="W85" s="8" t="s">
        <v>33</v>
      </c>
      <c r="X85" s="8" t="s">
        <v>33</v>
      </c>
      <c r="Y85" s="8" t="s">
        <v>33</v>
      </c>
      <c r="Z85" s="8" t="s">
        <v>33</v>
      </c>
      <c r="AA85" s="8" t="s">
        <v>33</v>
      </c>
      <c r="AB85" s="8" t="s">
        <v>32</v>
      </c>
      <c r="AC85" s="8" t="s">
        <v>33</v>
      </c>
      <c r="AD85" s="8" t="s">
        <v>32</v>
      </c>
      <c r="AE85" s="8" t="s">
        <v>32</v>
      </c>
      <c r="AF85" s="4">
        <f t="shared" si="2"/>
        <v>5042</v>
      </c>
      <c r="AG85" s="4">
        <f t="shared" si="3"/>
        <v>1458.91</v>
      </c>
      <c r="AH85" s="5" t="s">
        <v>185</v>
      </c>
      <c r="AI85" s="11" t="s">
        <v>213</v>
      </c>
      <c r="AJ85" s="11" t="s">
        <v>211</v>
      </c>
      <c r="AK85" s="11" t="s">
        <v>235</v>
      </c>
    </row>
    <row r="86" spans="1:37" x14ac:dyDescent="0.3">
      <c r="A86" s="8" t="s">
        <v>101</v>
      </c>
      <c r="B86" s="8" t="s">
        <v>102</v>
      </c>
      <c r="C86" s="7">
        <v>45302</v>
      </c>
      <c r="D86" s="8" t="s">
        <v>318</v>
      </c>
      <c r="E86" s="8" t="s">
        <v>549</v>
      </c>
      <c r="F86" s="8" t="s">
        <v>549</v>
      </c>
      <c r="G86" s="8" t="s">
        <v>550</v>
      </c>
      <c r="H86" s="9">
        <v>1588</v>
      </c>
      <c r="I86" s="9">
        <v>459.49</v>
      </c>
      <c r="L86" s="8" t="s">
        <v>195</v>
      </c>
      <c r="M86" s="8" t="s">
        <v>28</v>
      </c>
      <c r="N86" s="8" t="s">
        <v>35</v>
      </c>
      <c r="O86" s="8" t="s">
        <v>14</v>
      </c>
      <c r="P86" s="8" t="s">
        <v>36</v>
      </c>
      <c r="Q86" s="8" t="s">
        <v>549</v>
      </c>
      <c r="R86" s="8" t="s">
        <v>33</v>
      </c>
      <c r="S86" s="8" t="s">
        <v>530</v>
      </c>
      <c r="T86" s="8" t="s">
        <v>37</v>
      </c>
      <c r="U86" s="8" t="s">
        <v>32</v>
      </c>
      <c r="V86" s="8" t="s">
        <v>32</v>
      </c>
      <c r="W86" s="8" t="s">
        <v>33</v>
      </c>
      <c r="X86" s="8" t="s">
        <v>33</v>
      </c>
      <c r="Y86" s="8" t="s">
        <v>33</v>
      </c>
      <c r="Z86" s="8" t="s">
        <v>33</v>
      </c>
      <c r="AA86" s="8" t="s">
        <v>33</v>
      </c>
      <c r="AB86" s="8" t="s">
        <v>32</v>
      </c>
      <c r="AC86" s="8" t="s">
        <v>33</v>
      </c>
      <c r="AD86" s="8" t="s">
        <v>32</v>
      </c>
      <c r="AE86" s="8" t="s">
        <v>32</v>
      </c>
      <c r="AF86" s="4">
        <f t="shared" si="2"/>
        <v>1588</v>
      </c>
      <c r="AG86" s="4">
        <f t="shared" si="3"/>
        <v>459.49</v>
      </c>
      <c r="AH86" s="5" t="s">
        <v>185</v>
      </c>
      <c r="AI86" s="11" t="s">
        <v>223</v>
      </c>
      <c r="AJ86" s="11" t="s">
        <v>540</v>
      </c>
      <c r="AK86" s="11" t="s">
        <v>236</v>
      </c>
    </row>
    <row r="87" spans="1:37" x14ac:dyDescent="0.3">
      <c r="A87" s="8" t="s">
        <v>94</v>
      </c>
      <c r="B87" s="8" t="s">
        <v>95</v>
      </c>
      <c r="C87" s="7">
        <v>45302</v>
      </c>
      <c r="D87" s="8" t="s">
        <v>319</v>
      </c>
      <c r="E87" s="8" t="s">
        <v>549</v>
      </c>
      <c r="F87" s="8" t="s">
        <v>549</v>
      </c>
      <c r="G87" s="8" t="s">
        <v>550</v>
      </c>
      <c r="H87" s="9">
        <v>3454</v>
      </c>
      <c r="I87" s="9">
        <v>999.42</v>
      </c>
      <c r="L87" s="8" t="s">
        <v>193</v>
      </c>
      <c r="M87" s="8" t="s">
        <v>28</v>
      </c>
      <c r="N87" s="8" t="s">
        <v>35</v>
      </c>
      <c r="O87" s="8" t="s">
        <v>14</v>
      </c>
      <c r="P87" s="8" t="s">
        <v>36</v>
      </c>
      <c r="Q87" s="8" t="s">
        <v>549</v>
      </c>
      <c r="R87" s="8" t="s">
        <v>33</v>
      </c>
      <c r="S87" s="8" t="s">
        <v>530</v>
      </c>
      <c r="T87" s="8" t="s">
        <v>37</v>
      </c>
      <c r="U87" s="8" t="s">
        <v>32</v>
      </c>
      <c r="V87" s="8" t="s">
        <v>32</v>
      </c>
      <c r="W87" s="8" t="s">
        <v>33</v>
      </c>
      <c r="X87" s="8" t="s">
        <v>33</v>
      </c>
      <c r="Y87" s="8" t="s">
        <v>33</v>
      </c>
      <c r="Z87" s="8" t="s">
        <v>33</v>
      </c>
      <c r="AA87" s="8" t="s">
        <v>33</v>
      </c>
      <c r="AB87" s="8" t="s">
        <v>32</v>
      </c>
      <c r="AC87" s="8" t="s">
        <v>33</v>
      </c>
      <c r="AD87" s="8" t="s">
        <v>32</v>
      </c>
      <c r="AE87" s="8" t="s">
        <v>32</v>
      </c>
      <c r="AF87" s="4">
        <f t="shared" si="2"/>
        <v>3454</v>
      </c>
      <c r="AG87" s="4">
        <f t="shared" si="3"/>
        <v>999.42</v>
      </c>
      <c r="AH87" s="5" t="s">
        <v>185</v>
      </c>
      <c r="AI87" s="11" t="s">
        <v>222</v>
      </c>
      <c r="AJ87" s="11" t="s">
        <v>545</v>
      </c>
      <c r="AK87" s="11" t="s">
        <v>236</v>
      </c>
    </row>
    <row r="88" spans="1:37" x14ac:dyDescent="0.3">
      <c r="A88" s="8" t="s">
        <v>96</v>
      </c>
      <c r="B88" s="8" t="s">
        <v>97</v>
      </c>
      <c r="C88" s="7">
        <v>45302</v>
      </c>
      <c r="D88" s="8" t="s">
        <v>320</v>
      </c>
      <c r="E88" s="8" t="s">
        <v>549</v>
      </c>
      <c r="F88" s="8" t="s">
        <v>549</v>
      </c>
      <c r="G88" s="8" t="s">
        <v>550</v>
      </c>
      <c r="H88" s="9">
        <v>2208</v>
      </c>
      <c r="I88" s="9">
        <v>638.89</v>
      </c>
      <c r="L88" s="8" t="s">
        <v>119</v>
      </c>
      <c r="M88" s="8" t="s">
        <v>28</v>
      </c>
      <c r="N88" s="8" t="s">
        <v>35</v>
      </c>
      <c r="O88" s="8" t="s">
        <v>14</v>
      </c>
      <c r="P88" s="8" t="s">
        <v>36</v>
      </c>
      <c r="Q88" s="8" t="s">
        <v>549</v>
      </c>
      <c r="R88" s="8" t="s">
        <v>33</v>
      </c>
      <c r="S88" s="8" t="s">
        <v>530</v>
      </c>
      <c r="T88" s="8" t="s">
        <v>37</v>
      </c>
      <c r="U88" s="8" t="s">
        <v>32</v>
      </c>
      <c r="V88" s="8" t="s">
        <v>32</v>
      </c>
      <c r="W88" s="8" t="s">
        <v>33</v>
      </c>
      <c r="X88" s="8" t="s">
        <v>33</v>
      </c>
      <c r="Y88" s="8" t="s">
        <v>33</v>
      </c>
      <c r="Z88" s="8" t="s">
        <v>33</v>
      </c>
      <c r="AA88" s="8" t="s">
        <v>33</v>
      </c>
      <c r="AB88" s="8" t="s">
        <v>32</v>
      </c>
      <c r="AC88" s="8" t="s">
        <v>33</v>
      </c>
      <c r="AD88" s="8" t="s">
        <v>32</v>
      </c>
      <c r="AE88" s="8" t="s">
        <v>32</v>
      </c>
      <c r="AF88" s="4">
        <f t="shared" si="2"/>
        <v>2208</v>
      </c>
      <c r="AG88" s="4">
        <f t="shared" si="3"/>
        <v>638.89</v>
      </c>
      <c r="AH88" s="5" t="s">
        <v>184</v>
      </c>
      <c r="AI88" s="11" t="s">
        <v>221</v>
      </c>
      <c r="AJ88" s="11" t="s">
        <v>541</v>
      </c>
      <c r="AK88" s="11" t="s">
        <v>237</v>
      </c>
    </row>
    <row r="89" spans="1:37" x14ac:dyDescent="0.3">
      <c r="A89" s="8" t="s">
        <v>96</v>
      </c>
      <c r="B89" s="8" t="s">
        <v>97</v>
      </c>
      <c r="C89" s="7">
        <v>45302</v>
      </c>
      <c r="D89" s="8" t="s">
        <v>321</v>
      </c>
      <c r="E89" s="8" t="s">
        <v>549</v>
      </c>
      <c r="F89" s="8" t="s">
        <v>549</v>
      </c>
      <c r="G89" s="8" t="s">
        <v>550</v>
      </c>
      <c r="H89" s="9">
        <v>7678</v>
      </c>
      <c r="I89" s="9">
        <v>2221.64</v>
      </c>
      <c r="L89" s="8" t="s">
        <v>77</v>
      </c>
      <c r="M89" s="8" t="s">
        <v>28</v>
      </c>
      <c r="N89" s="8" t="s">
        <v>35</v>
      </c>
      <c r="O89" s="8" t="s">
        <v>14</v>
      </c>
      <c r="P89" s="8" t="s">
        <v>36</v>
      </c>
      <c r="Q89" s="8" t="s">
        <v>549</v>
      </c>
      <c r="R89" s="8" t="s">
        <v>33</v>
      </c>
      <c r="S89" s="8" t="s">
        <v>530</v>
      </c>
      <c r="T89" s="8" t="s">
        <v>37</v>
      </c>
      <c r="U89" s="8" t="s">
        <v>32</v>
      </c>
      <c r="V89" s="8" t="s">
        <v>32</v>
      </c>
      <c r="W89" s="8" t="s">
        <v>33</v>
      </c>
      <c r="X89" s="8" t="s">
        <v>33</v>
      </c>
      <c r="Y89" s="8" t="s">
        <v>33</v>
      </c>
      <c r="Z89" s="8" t="s">
        <v>33</v>
      </c>
      <c r="AA89" s="8" t="s">
        <v>33</v>
      </c>
      <c r="AB89" s="8" t="s">
        <v>32</v>
      </c>
      <c r="AC89" s="8" t="s">
        <v>33</v>
      </c>
      <c r="AD89" s="8" t="s">
        <v>32</v>
      </c>
      <c r="AE89" s="8" t="s">
        <v>32</v>
      </c>
      <c r="AF89" s="4">
        <f t="shared" si="2"/>
        <v>7678</v>
      </c>
      <c r="AG89" s="4">
        <f t="shared" si="3"/>
        <v>2221.64</v>
      </c>
      <c r="AH89" s="5" t="s">
        <v>185</v>
      </c>
      <c r="AI89" s="11" t="s">
        <v>221</v>
      </c>
      <c r="AJ89" s="11" t="s">
        <v>211</v>
      </c>
      <c r="AK89" s="11" t="s">
        <v>235</v>
      </c>
    </row>
    <row r="90" spans="1:37" x14ac:dyDescent="0.3">
      <c r="A90" s="8" t="s">
        <v>96</v>
      </c>
      <c r="B90" s="8" t="s">
        <v>97</v>
      </c>
      <c r="C90" s="7">
        <v>45302</v>
      </c>
      <c r="D90" s="8" t="s">
        <v>322</v>
      </c>
      <c r="E90" s="8" t="s">
        <v>549</v>
      </c>
      <c r="F90" s="8" t="s">
        <v>549</v>
      </c>
      <c r="G90" s="8" t="s">
        <v>550</v>
      </c>
      <c r="H90" s="9">
        <v>252</v>
      </c>
      <c r="I90" s="9">
        <v>72.92</v>
      </c>
      <c r="L90" s="8" t="s">
        <v>119</v>
      </c>
      <c r="M90" s="8" t="s">
        <v>28</v>
      </c>
      <c r="N90" s="8" t="s">
        <v>35</v>
      </c>
      <c r="O90" s="8" t="s">
        <v>14</v>
      </c>
      <c r="P90" s="8" t="s">
        <v>36</v>
      </c>
      <c r="Q90" s="8" t="s">
        <v>549</v>
      </c>
      <c r="R90" s="8" t="s">
        <v>33</v>
      </c>
      <c r="S90" s="8" t="s">
        <v>530</v>
      </c>
      <c r="T90" s="8" t="s">
        <v>37</v>
      </c>
      <c r="U90" s="8" t="s">
        <v>32</v>
      </c>
      <c r="V90" s="8" t="s">
        <v>32</v>
      </c>
      <c r="W90" s="8" t="s">
        <v>33</v>
      </c>
      <c r="X90" s="8" t="s">
        <v>33</v>
      </c>
      <c r="Y90" s="8" t="s">
        <v>33</v>
      </c>
      <c r="Z90" s="8" t="s">
        <v>33</v>
      </c>
      <c r="AA90" s="8" t="s">
        <v>33</v>
      </c>
      <c r="AB90" s="8" t="s">
        <v>32</v>
      </c>
      <c r="AC90" s="8" t="s">
        <v>33</v>
      </c>
      <c r="AD90" s="8" t="s">
        <v>32</v>
      </c>
      <c r="AE90" s="8" t="s">
        <v>32</v>
      </c>
      <c r="AF90" s="4">
        <f t="shared" si="2"/>
        <v>252</v>
      </c>
      <c r="AG90" s="4">
        <f t="shared" si="3"/>
        <v>72.92</v>
      </c>
      <c r="AH90" s="5" t="s">
        <v>184</v>
      </c>
      <c r="AI90" s="11" t="s">
        <v>221</v>
      </c>
      <c r="AJ90" s="11" t="s">
        <v>541</v>
      </c>
      <c r="AK90" s="11" t="s">
        <v>237</v>
      </c>
    </row>
    <row r="91" spans="1:37" x14ac:dyDescent="0.3">
      <c r="A91" s="8" t="s">
        <v>96</v>
      </c>
      <c r="B91" s="8" t="s">
        <v>97</v>
      </c>
      <c r="C91" s="7">
        <v>45302</v>
      </c>
      <c r="D91" s="8" t="s">
        <v>323</v>
      </c>
      <c r="E91" s="8" t="s">
        <v>549</v>
      </c>
      <c r="F91" s="8" t="s">
        <v>549</v>
      </c>
      <c r="G91" s="8" t="s">
        <v>550</v>
      </c>
      <c r="H91" s="9">
        <v>2657</v>
      </c>
      <c r="I91" s="9">
        <v>768.81</v>
      </c>
      <c r="L91" s="8" t="s">
        <v>77</v>
      </c>
      <c r="M91" s="8" t="s">
        <v>28</v>
      </c>
      <c r="N91" s="8" t="s">
        <v>35</v>
      </c>
      <c r="O91" s="8" t="s">
        <v>14</v>
      </c>
      <c r="P91" s="8" t="s">
        <v>36</v>
      </c>
      <c r="Q91" s="8" t="s">
        <v>549</v>
      </c>
      <c r="R91" s="8" t="s">
        <v>33</v>
      </c>
      <c r="S91" s="8" t="s">
        <v>530</v>
      </c>
      <c r="T91" s="8" t="s">
        <v>37</v>
      </c>
      <c r="U91" s="8" t="s">
        <v>32</v>
      </c>
      <c r="V91" s="8" t="s">
        <v>32</v>
      </c>
      <c r="W91" s="8" t="s">
        <v>33</v>
      </c>
      <c r="X91" s="8" t="s">
        <v>33</v>
      </c>
      <c r="Y91" s="8" t="s">
        <v>33</v>
      </c>
      <c r="Z91" s="8" t="s">
        <v>33</v>
      </c>
      <c r="AA91" s="8" t="s">
        <v>33</v>
      </c>
      <c r="AB91" s="8" t="s">
        <v>32</v>
      </c>
      <c r="AC91" s="8" t="s">
        <v>33</v>
      </c>
      <c r="AD91" s="8" t="s">
        <v>32</v>
      </c>
      <c r="AE91" s="8" t="s">
        <v>32</v>
      </c>
      <c r="AF91" s="4">
        <f t="shared" si="2"/>
        <v>2657</v>
      </c>
      <c r="AG91" s="4">
        <f t="shared" si="3"/>
        <v>768.81</v>
      </c>
      <c r="AH91" s="5" t="s">
        <v>185</v>
      </c>
      <c r="AI91" s="11" t="s">
        <v>221</v>
      </c>
      <c r="AJ91" s="11" t="s">
        <v>211</v>
      </c>
      <c r="AK91" s="11" t="s">
        <v>235</v>
      </c>
    </row>
    <row r="92" spans="1:37" x14ac:dyDescent="0.3">
      <c r="A92" s="8" t="s">
        <v>83</v>
      </c>
      <c r="B92" s="8" t="s">
        <v>84</v>
      </c>
      <c r="C92" s="7">
        <v>45303</v>
      </c>
      <c r="D92" s="8" t="s">
        <v>324</v>
      </c>
      <c r="E92" s="8" t="s">
        <v>549</v>
      </c>
      <c r="F92" s="8" t="s">
        <v>549</v>
      </c>
      <c r="G92" s="8" t="s">
        <v>550</v>
      </c>
      <c r="H92" s="9">
        <v>7679</v>
      </c>
      <c r="I92" s="9">
        <v>2221.9299999999998</v>
      </c>
      <c r="L92" s="8" t="s">
        <v>105</v>
      </c>
      <c r="M92" s="8" t="s">
        <v>34</v>
      </c>
      <c r="N92" s="8" t="s">
        <v>41</v>
      </c>
      <c r="O92" s="8" t="s">
        <v>14</v>
      </c>
      <c r="P92" s="8" t="s">
        <v>42</v>
      </c>
      <c r="Q92" s="8" t="s">
        <v>549</v>
      </c>
      <c r="R92" s="8" t="s">
        <v>33</v>
      </c>
      <c r="S92" s="8" t="s">
        <v>530</v>
      </c>
      <c r="T92" s="8" t="s">
        <v>80</v>
      </c>
      <c r="U92" s="8" t="s">
        <v>32</v>
      </c>
      <c r="V92" s="8" t="s">
        <v>32</v>
      </c>
      <c r="W92" s="8" t="s">
        <v>33</v>
      </c>
      <c r="X92" s="8" t="s">
        <v>33</v>
      </c>
      <c r="Y92" s="8" t="s">
        <v>33</v>
      </c>
      <c r="Z92" s="8" t="s">
        <v>33</v>
      </c>
      <c r="AA92" s="8" t="s">
        <v>33</v>
      </c>
      <c r="AB92" s="8" t="s">
        <v>32</v>
      </c>
      <c r="AC92" s="8" t="s">
        <v>33</v>
      </c>
      <c r="AD92" s="8" t="s">
        <v>32</v>
      </c>
      <c r="AE92" s="8" t="s">
        <v>32</v>
      </c>
      <c r="AF92" s="4">
        <f t="shared" si="2"/>
        <v>7679</v>
      </c>
      <c r="AG92" s="4">
        <f t="shared" si="3"/>
        <v>2221.9299999999998</v>
      </c>
      <c r="AH92" s="5" t="s">
        <v>185</v>
      </c>
      <c r="AI92" s="11" t="s">
        <v>213</v>
      </c>
      <c r="AJ92" s="11" t="s">
        <v>209</v>
      </c>
      <c r="AK92" s="11" t="s">
        <v>235</v>
      </c>
    </row>
    <row r="93" spans="1:37" x14ac:dyDescent="0.3">
      <c r="A93" s="8" t="s">
        <v>83</v>
      </c>
      <c r="B93" s="8" t="s">
        <v>84</v>
      </c>
      <c r="C93" s="7">
        <v>45303</v>
      </c>
      <c r="D93" s="8" t="s">
        <v>325</v>
      </c>
      <c r="E93" s="8" t="s">
        <v>549</v>
      </c>
      <c r="F93" s="8" t="s">
        <v>549</v>
      </c>
      <c r="G93" s="8" t="s">
        <v>550</v>
      </c>
      <c r="H93" s="9">
        <v>7486</v>
      </c>
      <c r="I93" s="9">
        <v>2166.09</v>
      </c>
      <c r="L93" s="8" t="s">
        <v>105</v>
      </c>
      <c r="M93" s="8" t="s">
        <v>34</v>
      </c>
      <c r="N93" s="8" t="s">
        <v>41</v>
      </c>
      <c r="O93" s="8" t="s">
        <v>14</v>
      </c>
      <c r="P93" s="8" t="s">
        <v>42</v>
      </c>
      <c r="Q93" s="8" t="s">
        <v>549</v>
      </c>
      <c r="R93" s="8" t="s">
        <v>33</v>
      </c>
      <c r="S93" s="8" t="s">
        <v>530</v>
      </c>
      <c r="T93" s="8" t="s">
        <v>80</v>
      </c>
      <c r="U93" s="8" t="s">
        <v>32</v>
      </c>
      <c r="V93" s="8" t="s">
        <v>32</v>
      </c>
      <c r="W93" s="8" t="s">
        <v>33</v>
      </c>
      <c r="X93" s="8" t="s">
        <v>33</v>
      </c>
      <c r="Y93" s="8" t="s">
        <v>33</v>
      </c>
      <c r="Z93" s="8" t="s">
        <v>33</v>
      </c>
      <c r="AA93" s="8" t="s">
        <v>33</v>
      </c>
      <c r="AB93" s="8" t="s">
        <v>32</v>
      </c>
      <c r="AC93" s="8" t="s">
        <v>33</v>
      </c>
      <c r="AD93" s="8" t="s">
        <v>32</v>
      </c>
      <c r="AE93" s="8" t="s">
        <v>32</v>
      </c>
      <c r="AF93" s="4">
        <f t="shared" si="2"/>
        <v>7486</v>
      </c>
      <c r="AG93" s="4">
        <f t="shared" si="3"/>
        <v>2166.09</v>
      </c>
      <c r="AH93" s="5" t="s">
        <v>185</v>
      </c>
      <c r="AI93" s="11" t="s">
        <v>213</v>
      </c>
      <c r="AJ93" s="11" t="s">
        <v>209</v>
      </c>
      <c r="AK93" s="11" t="s">
        <v>235</v>
      </c>
    </row>
    <row r="94" spans="1:37" x14ac:dyDescent="0.3">
      <c r="A94" s="8" t="s">
        <v>83</v>
      </c>
      <c r="B94" s="8" t="s">
        <v>84</v>
      </c>
      <c r="C94" s="7">
        <v>45303</v>
      </c>
      <c r="D94" s="8" t="s">
        <v>326</v>
      </c>
      <c r="E94" s="8" t="s">
        <v>549</v>
      </c>
      <c r="F94" s="8" t="s">
        <v>549</v>
      </c>
      <c r="G94" s="8" t="s">
        <v>550</v>
      </c>
      <c r="H94" s="9">
        <v>6840</v>
      </c>
      <c r="I94" s="9">
        <v>1979.17</v>
      </c>
      <c r="L94" s="8" t="s">
        <v>105</v>
      </c>
      <c r="M94" s="8" t="s">
        <v>34</v>
      </c>
      <c r="N94" s="8" t="s">
        <v>41</v>
      </c>
      <c r="O94" s="8" t="s">
        <v>14</v>
      </c>
      <c r="P94" s="8" t="s">
        <v>42</v>
      </c>
      <c r="Q94" s="8" t="s">
        <v>549</v>
      </c>
      <c r="R94" s="8" t="s">
        <v>33</v>
      </c>
      <c r="S94" s="8" t="s">
        <v>530</v>
      </c>
      <c r="T94" s="8" t="s">
        <v>80</v>
      </c>
      <c r="U94" s="8" t="s">
        <v>32</v>
      </c>
      <c r="V94" s="8" t="s">
        <v>32</v>
      </c>
      <c r="W94" s="8" t="s">
        <v>33</v>
      </c>
      <c r="X94" s="8" t="s">
        <v>33</v>
      </c>
      <c r="Y94" s="8" t="s">
        <v>33</v>
      </c>
      <c r="Z94" s="8" t="s">
        <v>33</v>
      </c>
      <c r="AA94" s="8" t="s">
        <v>33</v>
      </c>
      <c r="AB94" s="8" t="s">
        <v>32</v>
      </c>
      <c r="AC94" s="8" t="s">
        <v>33</v>
      </c>
      <c r="AD94" s="8" t="s">
        <v>32</v>
      </c>
      <c r="AE94" s="8" t="s">
        <v>32</v>
      </c>
      <c r="AF94" s="4">
        <f t="shared" si="2"/>
        <v>6840</v>
      </c>
      <c r="AG94" s="4">
        <f t="shared" si="3"/>
        <v>1979.17</v>
      </c>
      <c r="AH94" s="5" t="s">
        <v>185</v>
      </c>
      <c r="AI94" s="11" t="s">
        <v>213</v>
      </c>
      <c r="AJ94" s="11" t="s">
        <v>209</v>
      </c>
      <c r="AK94" s="11" t="s">
        <v>235</v>
      </c>
    </row>
    <row r="95" spans="1:37" x14ac:dyDescent="0.3">
      <c r="A95" s="8" t="s">
        <v>83</v>
      </c>
      <c r="B95" s="8" t="s">
        <v>84</v>
      </c>
      <c r="C95" s="7">
        <v>45303</v>
      </c>
      <c r="D95" s="8" t="s">
        <v>327</v>
      </c>
      <c r="E95" s="8" t="s">
        <v>549</v>
      </c>
      <c r="F95" s="8" t="s">
        <v>549</v>
      </c>
      <c r="G95" s="8" t="s">
        <v>550</v>
      </c>
      <c r="H95" s="9">
        <v>1029</v>
      </c>
      <c r="I95" s="9">
        <v>297.74</v>
      </c>
      <c r="L95" s="8" t="s">
        <v>76</v>
      </c>
      <c r="M95" s="8" t="s">
        <v>34</v>
      </c>
      <c r="N95" s="8" t="s">
        <v>41</v>
      </c>
      <c r="O95" s="8" t="s">
        <v>14</v>
      </c>
      <c r="P95" s="8" t="s">
        <v>42</v>
      </c>
      <c r="Q95" s="8" t="s">
        <v>549</v>
      </c>
      <c r="R95" s="8" t="s">
        <v>33</v>
      </c>
      <c r="S95" s="8" t="s">
        <v>530</v>
      </c>
      <c r="T95" s="8" t="s">
        <v>80</v>
      </c>
      <c r="U95" s="8" t="s">
        <v>32</v>
      </c>
      <c r="V95" s="8" t="s">
        <v>32</v>
      </c>
      <c r="W95" s="8" t="s">
        <v>33</v>
      </c>
      <c r="X95" s="8" t="s">
        <v>33</v>
      </c>
      <c r="Y95" s="8" t="s">
        <v>33</v>
      </c>
      <c r="Z95" s="8" t="s">
        <v>33</v>
      </c>
      <c r="AA95" s="8" t="s">
        <v>33</v>
      </c>
      <c r="AB95" s="8" t="s">
        <v>32</v>
      </c>
      <c r="AC95" s="8" t="s">
        <v>33</v>
      </c>
      <c r="AD95" s="8" t="s">
        <v>32</v>
      </c>
      <c r="AE95" s="8" t="s">
        <v>32</v>
      </c>
      <c r="AF95" s="4">
        <f t="shared" si="2"/>
        <v>1029</v>
      </c>
      <c r="AG95" s="4">
        <f t="shared" si="3"/>
        <v>297.74</v>
      </c>
      <c r="AH95" s="5" t="s">
        <v>185</v>
      </c>
      <c r="AI95" s="11" t="s">
        <v>213</v>
      </c>
      <c r="AJ95" s="11" t="s">
        <v>205</v>
      </c>
      <c r="AK95" s="11" t="s">
        <v>235</v>
      </c>
    </row>
    <row r="96" spans="1:37" x14ac:dyDescent="0.3">
      <c r="A96" s="8" t="s">
        <v>83</v>
      </c>
      <c r="B96" s="8" t="s">
        <v>84</v>
      </c>
      <c r="C96" s="7">
        <v>45303</v>
      </c>
      <c r="D96" s="8" t="s">
        <v>328</v>
      </c>
      <c r="E96" s="8" t="s">
        <v>549</v>
      </c>
      <c r="F96" s="8" t="s">
        <v>549</v>
      </c>
      <c r="G96" s="8" t="s">
        <v>550</v>
      </c>
      <c r="H96" s="9">
        <v>5199</v>
      </c>
      <c r="I96" s="9">
        <v>1504.34</v>
      </c>
      <c r="L96" s="8" t="s">
        <v>76</v>
      </c>
      <c r="M96" s="8" t="s">
        <v>34</v>
      </c>
      <c r="N96" s="8" t="s">
        <v>41</v>
      </c>
      <c r="O96" s="8" t="s">
        <v>14</v>
      </c>
      <c r="P96" s="8" t="s">
        <v>42</v>
      </c>
      <c r="Q96" s="8" t="s">
        <v>549</v>
      </c>
      <c r="R96" s="8" t="s">
        <v>33</v>
      </c>
      <c r="S96" s="8" t="s">
        <v>530</v>
      </c>
      <c r="T96" s="8" t="s">
        <v>80</v>
      </c>
      <c r="U96" s="8" t="s">
        <v>32</v>
      </c>
      <c r="V96" s="8" t="s">
        <v>32</v>
      </c>
      <c r="W96" s="8" t="s">
        <v>33</v>
      </c>
      <c r="X96" s="8" t="s">
        <v>33</v>
      </c>
      <c r="Y96" s="8" t="s">
        <v>33</v>
      </c>
      <c r="Z96" s="8" t="s">
        <v>33</v>
      </c>
      <c r="AA96" s="8" t="s">
        <v>33</v>
      </c>
      <c r="AB96" s="8" t="s">
        <v>32</v>
      </c>
      <c r="AC96" s="8" t="s">
        <v>33</v>
      </c>
      <c r="AD96" s="8" t="s">
        <v>32</v>
      </c>
      <c r="AE96" s="8" t="s">
        <v>32</v>
      </c>
      <c r="AF96" s="4">
        <f t="shared" si="2"/>
        <v>5199</v>
      </c>
      <c r="AG96" s="4">
        <f t="shared" si="3"/>
        <v>1504.34</v>
      </c>
      <c r="AH96" s="5" t="s">
        <v>185</v>
      </c>
      <c r="AI96" s="11" t="s">
        <v>213</v>
      </c>
      <c r="AJ96" s="11" t="s">
        <v>205</v>
      </c>
      <c r="AK96" s="11" t="s">
        <v>235</v>
      </c>
    </row>
    <row r="97" spans="1:37" x14ac:dyDescent="0.3">
      <c r="A97" s="8" t="s">
        <v>83</v>
      </c>
      <c r="B97" s="8" t="s">
        <v>84</v>
      </c>
      <c r="C97" s="7">
        <v>45303</v>
      </c>
      <c r="D97" s="8" t="s">
        <v>329</v>
      </c>
      <c r="E97" s="8" t="s">
        <v>549</v>
      </c>
      <c r="F97" s="8" t="s">
        <v>549</v>
      </c>
      <c r="G97" s="8" t="s">
        <v>550</v>
      </c>
      <c r="H97" s="9">
        <v>2391</v>
      </c>
      <c r="I97" s="9">
        <v>691.84</v>
      </c>
      <c r="L97" s="8" t="s">
        <v>76</v>
      </c>
      <c r="M97" s="8" t="s">
        <v>34</v>
      </c>
      <c r="N97" s="8" t="s">
        <v>41</v>
      </c>
      <c r="O97" s="8" t="s">
        <v>14</v>
      </c>
      <c r="P97" s="8" t="s">
        <v>42</v>
      </c>
      <c r="Q97" s="8" t="s">
        <v>549</v>
      </c>
      <c r="R97" s="8" t="s">
        <v>33</v>
      </c>
      <c r="S97" s="8" t="s">
        <v>530</v>
      </c>
      <c r="T97" s="8" t="s">
        <v>80</v>
      </c>
      <c r="U97" s="8" t="s">
        <v>32</v>
      </c>
      <c r="V97" s="8" t="s">
        <v>32</v>
      </c>
      <c r="W97" s="8" t="s">
        <v>33</v>
      </c>
      <c r="X97" s="8" t="s">
        <v>33</v>
      </c>
      <c r="Y97" s="8" t="s">
        <v>33</v>
      </c>
      <c r="Z97" s="8" t="s">
        <v>33</v>
      </c>
      <c r="AA97" s="8" t="s">
        <v>33</v>
      </c>
      <c r="AB97" s="8" t="s">
        <v>32</v>
      </c>
      <c r="AC97" s="8" t="s">
        <v>33</v>
      </c>
      <c r="AD97" s="8" t="s">
        <v>32</v>
      </c>
      <c r="AE97" s="8" t="s">
        <v>32</v>
      </c>
      <c r="AF97" s="4">
        <f t="shared" si="2"/>
        <v>2391</v>
      </c>
      <c r="AG97" s="4">
        <f t="shared" si="3"/>
        <v>691.84</v>
      </c>
      <c r="AH97" s="5" t="s">
        <v>185</v>
      </c>
      <c r="AI97" s="11" t="s">
        <v>213</v>
      </c>
      <c r="AJ97" s="11" t="s">
        <v>205</v>
      </c>
      <c r="AK97" s="11" t="s">
        <v>235</v>
      </c>
    </row>
    <row r="98" spans="1:37" x14ac:dyDescent="0.3">
      <c r="A98" s="8" t="s">
        <v>83</v>
      </c>
      <c r="B98" s="8" t="s">
        <v>84</v>
      </c>
      <c r="C98" s="7">
        <v>45303</v>
      </c>
      <c r="D98" s="8" t="s">
        <v>330</v>
      </c>
      <c r="E98" s="8" t="s">
        <v>549</v>
      </c>
      <c r="F98" s="8" t="s">
        <v>549</v>
      </c>
      <c r="G98" s="8" t="s">
        <v>550</v>
      </c>
      <c r="H98" s="9">
        <v>6839</v>
      </c>
      <c r="I98" s="9">
        <v>1978.88</v>
      </c>
      <c r="L98" s="8" t="s">
        <v>76</v>
      </c>
      <c r="M98" s="8" t="s">
        <v>34</v>
      </c>
      <c r="N98" s="8" t="s">
        <v>41</v>
      </c>
      <c r="O98" s="8" t="s">
        <v>14</v>
      </c>
      <c r="P98" s="8" t="s">
        <v>42</v>
      </c>
      <c r="Q98" s="8" t="s">
        <v>549</v>
      </c>
      <c r="R98" s="8" t="s">
        <v>33</v>
      </c>
      <c r="S98" s="8" t="s">
        <v>530</v>
      </c>
      <c r="T98" s="8" t="s">
        <v>80</v>
      </c>
      <c r="U98" s="8" t="s">
        <v>32</v>
      </c>
      <c r="V98" s="8" t="s">
        <v>32</v>
      </c>
      <c r="W98" s="8" t="s">
        <v>33</v>
      </c>
      <c r="X98" s="8" t="s">
        <v>33</v>
      </c>
      <c r="Y98" s="8" t="s">
        <v>33</v>
      </c>
      <c r="Z98" s="8" t="s">
        <v>33</v>
      </c>
      <c r="AA98" s="8" t="s">
        <v>33</v>
      </c>
      <c r="AB98" s="8" t="s">
        <v>32</v>
      </c>
      <c r="AC98" s="8" t="s">
        <v>33</v>
      </c>
      <c r="AD98" s="8" t="s">
        <v>32</v>
      </c>
      <c r="AE98" s="8" t="s">
        <v>32</v>
      </c>
      <c r="AF98" s="4">
        <f t="shared" si="2"/>
        <v>6839</v>
      </c>
      <c r="AG98" s="4">
        <f t="shared" si="3"/>
        <v>1978.88</v>
      </c>
      <c r="AH98" s="5" t="s">
        <v>185</v>
      </c>
      <c r="AI98" s="11" t="s">
        <v>213</v>
      </c>
      <c r="AJ98" s="11" t="s">
        <v>205</v>
      </c>
      <c r="AK98" s="11" t="s">
        <v>235</v>
      </c>
    </row>
    <row r="99" spans="1:37" x14ac:dyDescent="0.3">
      <c r="A99" s="8" t="s">
        <v>83</v>
      </c>
      <c r="B99" s="8" t="s">
        <v>84</v>
      </c>
      <c r="C99" s="7">
        <v>45303</v>
      </c>
      <c r="D99" s="8" t="s">
        <v>331</v>
      </c>
      <c r="E99" s="8" t="s">
        <v>549</v>
      </c>
      <c r="F99" s="8" t="s">
        <v>549</v>
      </c>
      <c r="G99" s="8" t="s">
        <v>550</v>
      </c>
      <c r="H99" s="9">
        <v>4425</v>
      </c>
      <c r="I99" s="9">
        <v>1280.3800000000001</v>
      </c>
      <c r="L99" s="8" t="s">
        <v>105</v>
      </c>
      <c r="M99" s="8" t="s">
        <v>34</v>
      </c>
      <c r="N99" s="8" t="s">
        <v>41</v>
      </c>
      <c r="O99" s="8" t="s">
        <v>14</v>
      </c>
      <c r="P99" s="8" t="s">
        <v>42</v>
      </c>
      <c r="Q99" s="8" t="s">
        <v>549</v>
      </c>
      <c r="R99" s="8" t="s">
        <v>33</v>
      </c>
      <c r="S99" s="8" t="s">
        <v>530</v>
      </c>
      <c r="T99" s="8" t="s">
        <v>80</v>
      </c>
      <c r="U99" s="8" t="s">
        <v>32</v>
      </c>
      <c r="V99" s="8" t="s">
        <v>32</v>
      </c>
      <c r="W99" s="8" t="s">
        <v>33</v>
      </c>
      <c r="X99" s="8" t="s">
        <v>33</v>
      </c>
      <c r="Y99" s="8" t="s">
        <v>33</v>
      </c>
      <c r="Z99" s="8" t="s">
        <v>33</v>
      </c>
      <c r="AA99" s="8" t="s">
        <v>33</v>
      </c>
      <c r="AB99" s="8" t="s">
        <v>32</v>
      </c>
      <c r="AC99" s="8" t="s">
        <v>33</v>
      </c>
      <c r="AD99" s="8" t="s">
        <v>32</v>
      </c>
      <c r="AE99" s="8" t="s">
        <v>32</v>
      </c>
      <c r="AF99" s="4">
        <f t="shared" si="2"/>
        <v>4425</v>
      </c>
      <c r="AG99" s="4">
        <f t="shared" si="3"/>
        <v>1280.3800000000001</v>
      </c>
      <c r="AH99" s="5" t="s">
        <v>185</v>
      </c>
      <c r="AI99" s="11" t="s">
        <v>213</v>
      </c>
      <c r="AJ99" s="11" t="s">
        <v>209</v>
      </c>
      <c r="AK99" s="11" t="s">
        <v>235</v>
      </c>
    </row>
    <row r="100" spans="1:37" x14ac:dyDescent="0.3">
      <c r="A100" s="8" t="s">
        <v>113</v>
      </c>
      <c r="B100" s="8" t="s">
        <v>114</v>
      </c>
      <c r="C100" s="7">
        <v>45303</v>
      </c>
      <c r="D100" s="8" t="s">
        <v>332</v>
      </c>
      <c r="E100" s="8" t="s">
        <v>549</v>
      </c>
      <c r="F100" s="8" t="s">
        <v>549</v>
      </c>
      <c r="G100" s="8" t="s">
        <v>550</v>
      </c>
      <c r="H100" s="9">
        <v>7894</v>
      </c>
      <c r="I100" s="9">
        <v>2284.14</v>
      </c>
      <c r="L100" s="8" t="s">
        <v>92</v>
      </c>
      <c r="M100" s="8" t="s">
        <v>34</v>
      </c>
      <c r="N100" s="8" t="s">
        <v>29</v>
      </c>
      <c r="O100" s="8" t="s">
        <v>14</v>
      </c>
      <c r="P100" s="8" t="s">
        <v>30</v>
      </c>
      <c r="Q100" s="8" t="s">
        <v>549</v>
      </c>
      <c r="R100" s="8" t="s">
        <v>33</v>
      </c>
      <c r="S100" s="8" t="s">
        <v>530</v>
      </c>
      <c r="T100" s="8" t="s">
        <v>31</v>
      </c>
      <c r="U100" s="8" t="s">
        <v>32</v>
      </c>
      <c r="V100" s="8" t="s">
        <v>32</v>
      </c>
      <c r="W100" s="8" t="s">
        <v>33</v>
      </c>
      <c r="X100" s="8" t="s">
        <v>33</v>
      </c>
      <c r="Y100" s="8" t="s">
        <v>33</v>
      </c>
      <c r="Z100" s="8" t="s">
        <v>33</v>
      </c>
      <c r="AA100" s="8" t="s">
        <v>33</v>
      </c>
      <c r="AB100" s="8" t="s">
        <v>32</v>
      </c>
      <c r="AC100" s="8" t="s">
        <v>33</v>
      </c>
      <c r="AD100" s="8" t="s">
        <v>32</v>
      </c>
      <c r="AE100" s="8" t="s">
        <v>32</v>
      </c>
      <c r="AF100" s="4">
        <f t="shared" si="2"/>
        <v>7894</v>
      </c>
      <c r="AG100" s="4">
        <f t="shared" si="3"/>
        <v>2284.14</v>
      </c>
      <c r="AH100" s="5" t="s">
        <v>185</v>
      </c>
      <c r="AI100" s="11" t="s">
        <v>233</v>
      </c>
      <c r="AJ100" s="11" t="s">
        <v>207</v>
      </c>
      <c r="AK100" s="11" t="s">
        <v>235</v>
      </c>
    </row>
    <row r="101" spans="1:37" x14ac:dyDescent="0.3">
      <c r="A101" s="8" t="s">
        <v>113</v>
      </c>
      <c r="B101" s="8" t="s">
        <v>114</v>
      </c>
      <c r="C101" s="7">
        <v>45303</v>
      </c>
      <c r="D101" s="8" t="s">
        <v>332</v>
      </c>
      <c r="E101" s="8" t="s">
        <v>549</v>
      </c>
      <c r="F101" s="8" t="s">
        <v>549</v>
      </c>
      <c r="G101" s="8" t="s">
        <v>550</v>
      </c>
      <c r="H101" s="9">
        <v>5925</v>
      </c>
      <c r="I101" s="9">
        <v>1714.41</v>
      </c>
      <c r="L101" s="8" t="s">
        <v>92</v>
      </c>
      <c r="M101" s="8" t="s">
        <v>38</v>
      </c>
      <c r="N101" s="8" t="s">
        <v>29</v>
      </c>
      <c r="O101" s="8" t="s">
        <v>14</v>
      </c>
      <c r="P101" s="8" t="s">
        <v>30</v>
      </c>
      <c r="Q101" s="8" t="s">
        <v>549</v>
      </c>
      <c r="R101" s="8" t="s">
        <v>33</v>
      </c>
      <c r="S101" s="8" t="s">
        <v>530</v>
      </c>
      <c r="T101" s="8" t="s">
        <v>31</v>
      </c>
      <c r="U101" s="8" t="s">
        <v>32</v>
      </c>
      <c r="V101" s="8" t="s">
        <v>32</v>
      </c>
      <c r="W101" s="8" t="s">
        <v>33</v>
      </c>
      <c r="X101" s="8" t="s">
        <v>33</v>
      </c>
      <c r="Y101" s="8" t="s">
        <v>33</v>
      </c>
      <c r="Z101" s="8" t="s">
        <v>33</v>
      </c>
      <c r="AA101" s="8" t="s">
        <v>33</v>
      </c>
      <c r="AB101" s="8" t="s">
        <v>32</v>
      </c>
      <c r="AC101" s="8" t="s">
        <v>33</v>
      </c>
      <c r="AD101" s="8" t="s">
        <v>32</v>
      </c>
      <c r="AE101" s="8" t="s">
        <v>32</v>
      </c>
      <c r="AF101" s="4">
        <f t="shared" si="2"/>
        <v>5925</v>
      </c>
      <c r="AG101" s="4">
        <f t="shared" si="3"/>
        <v>1714.41</v>
      </c>
      <c r="AH101" s="5" t="s">
        <v>185</v>
      </c>
      <c r="AI101" s="11" t="s">
        <v>233</v>
      </c>
      <c r="AJ101" s="11" t="s">
        <v>207</v>
      </c>
      <c r="AK101" s="11" t="s">
        <v>235</v>
      </c>
    </row>
    <row r="102" spans="1:37" x14ac:dyDescent="0.3">
      <c r="A102" s="8" t="s">
        <v>113</v>
      </c>
      <c r="B102" s="8" t="s">
        <v>114</v>
      </c>
      <c r="C102" s="7">
        <v>45303</v>
      </c>
      <c r="D102" s="8" t="s">
        <v>332</v>
      </c>
      <c r="E102" s="8" t="s">
        <v>549</v>
      </c>
      <c r="F102" s="8" t="s">
        <v>549</v>
      </c>
      <c r="G102" s="8" t="s">
        <v>550</v>
      </c>
      <c r="H102" s="9">
        <v>2960</v>
      </c>
      <c r="I102" s="9">
        <v>856.48</v>
      </c>
      <c r="L102" s="8" t="s">
        <v>92</v>
      </c>
      <c r="M102" s="8" t="s">
        <v>39</v>
      </c>
      <c r="N102" s="8" t="s">
        <v>29</v>
      </c>
      <c r="O102" s="8" t="s">
        <v>14</v>
      </c>
      <c r="P102" s="8" t="s">
        <v>30</v>
      </c>
      <c r="Q102" s="8" t="s">
        <v>549</v>
      </c>
      <c r="R102" s="8" t="s">
        <v>33</v>
      </c>
      <c r="S102" s="8" t="s">
        <v>530</v>
      </c>
      <c r="T102" s="8" t="s">
        <v>31</v>
      </c>
      <c r="U102" s="8" t="s">
        <v>32</v>
      </c>
      <c r="V102" s="8" t="s">
        <v>32</v>
      </c>
      <c r="W102" s="8" t="s">
        <v>33</v>
      </c>
      <c r="X102" s="8" t="s">
        <v>33</v>
      </c>
      <c r="Y102" s="8" t="s">
        <v>33</v>
      </c>
      <c r="Z102" s="8" t="s">
        <v>33</v>
      </c>
      <c r="AA102" s="8" t="s">
        <v>33</v>
      </c>
      <c r="AB102" s="8" t="s">
        <v>32</v>
      </c>
      <c r="AC102" s="8" t="s">
        <v>33</v>
      </c>
      <c r="AD102" s="8" t="s">
        <v>32</v>
      </c>
      <c r="AE102" s="8" t="s">
        <v>32</v>
      </c>
      <c r="AF102" s="4">
        <f t="shared" si="2"/>
        <v>2960</v>
      </c>
      <c r="AG102" s="4">
        <f t="shared" si="3"/>
        <v>856.48</v>
      </c>
      <c r="AH102" s="5" t="s">
        <v>185</v>
      </c>
      <c r="AI102" s="11" t="s">
        <v>233</v>
      </c>
      <c r="AJ102" s="11" t="s">
        <v>207</v>
      </c>
      <c r="AK102" s="11" t="s">
        <v>235</v>
      </c>
    </row>
    <row r="103" spans="1:37" x14ac:dyDescent="0.3">
      <c r="A103" s="8" t="s">
        <v>150</v>
      </c>
      <c r="B103" s="8" t="s">
        <v>151</v>
      </c>
      <c r="C103" s="7">
        <v>45303</v>
      </c>
      <c r="D103" s="8" t="s">
        <v>333</v>
      </c>
      <c r="E103" s="8" t="s">
        <v>549</v>
      </c>
      <c r="F103" s="8" t="s">
        <v>549</v>
      </c>
      <c r="G103" s="8" t="s">
        <v>550</v>
      </c>
      <c r="H103" s="9">
        <v>5844</v>
      </c>
      <c r="I103" s="9">
        <v>1690.97</v>
      </c>
      <c r="L103" s="8" t="s">
        <v>119</v>
      </c>
      <c r="M103" s="8" t="s">
        <v>34</v>
      </c>
      <c r="N103" s="8" t="s">
        <v>29</v>
      </c>
      <c r="O103" s="8" t="s">
        <v>14</v>
      </c>
      <c r="P103" s="8" t="s">
        <v>30</v>
      </c>
      <c r="Q103" s="8" t="s">
        <v>549</v>
      </c>
      <c r="R103" s="8" t="s">
        <v>33</v>
      </c>
      <c r="S103" s="8" t="s">
        <v>530</v>
      </c>
      <c r="T103" s="8" t="s">
        <v>31</v>
      </c>
      <c r="U103" s="8" t="s">
        <v>32</v>
      </c>
      <c r="V103" s="8" t="s">
        <v>32</v>
      </c>
      <c r="W103" s="8" t="s">
        <v>33</v>
      </c>
      <c r="X103" s="8" t="s">
        <v>33</v>
      </c>
      <c r="Y103" s="8" t="s">
        <v>33</v>
      </c>
      <c r="Z103" s="8" t="s">
        <v>33</v>
      </c>
      <c r="AA103" s="8" t="s">
        <v>33</v>
      </c>
      <c r="AB103" s="8" t="s">
        <v>32</v>
      </c>
      <c r="AC103" s="8" t="s">
        <v>33</v>
      </c>
      <c r="AD103" s="8" t="s">
        <v>32</v>
      </c>
      <c r="AE103" s="8" t="s">
        <v>32</v>
      </c>
      <c r="AF103" s="4">
        <f t="shared" si="2"/>
        <v>5844</v>
      </c>
      <c r="AG103" s="4">
        <f t="shared" si="3"/>
        <v>1690.97</v>
      </c>
      <c r="AH103" s="5" t="s">
        <v>184</v>
      </c>
      <c r="AI103" s="11" t="s">
        <v>551</v>
      </c>
      <c r="AJ103" s="11" t="s">
        <v>541</v>
      </c>
      <c r="AK103" s="11" t="s">
        <v>237</v>
      </c>
    </row>
    <row r="104" spans="1:37" x14ac:dyDescent="0.3">
      <c r="A104" s="8" t="s">
        <v>150</v>
      </c>
      <c r="B104" s="8" t="s">
        <v>151</v>
      </c>
      <c r="C104" s="7">
        <v>45303</v>
      </c>
      <c r="D104" s="8" t="s">
        <v>333</v>
      </c>
      <c r="E104" s="8" t="s">
        <v>549</v>
      </c>
      <c r="F104" s="8" t="s">
        <v>549</v>
      </c>
      <c r="G104" s="8" t="s">
        <v>550</v>
      </c>
      <c r="H104" s="9">
        <v>4450</v>
      </c>
      <c r="I104" s="9">
        <v>1287.6199999999999</v>
      </c>
      <c r="L104" s="8" t="s">
        <v>119</v>
      </c>
      <c r="M104" s="8" t="s">
        <v>38</v>
      </c>
      <c r="N104" s="8" t="s">
        <v>29</v>
      </c>
      <c r="O104" s="8" t="s">
        <v>14</v>
      </c>
      <c r="P104" s="8" t="s">
        <v>30</v>
      </c>
      <c r="Q104" s="8" t="s">
        <v>549</v>
      </c>
      <c r="R104" s="8" t="s">
        <v>33</v>
      </c>
      <c r="S104" s="8" t="s">
        <v>530</v>
      </c>
      <c r="T104" s="8" t="s">
        <v>31</v>
      </c>
      <c r="U104" s="8" t="s">
        <v>32</v>
      </c>
      <c r="V104" s="8" t="s">
        <v>32</v>
      </c>
      <c r="W104" s="8" t="s">
        <v>33</v>
      </c>
      <c r="X104" s="8" t="s">
        <v>33</v>
      </c>
      <c r="Y104" s="8" t="s">
        <v>33</v>
      </c>
      <c r="Z104" s="8" t="s">
        <v>33</v>
      </c>
      <c r="AA104" s="8" t="s">
        <v>33</v>
      </c>
      <c r="AB104" s="8" t="s">
        <v>32</v>
      </c>
      <c r="AC104" s="8" t="s">
        <v>33</v>
      </c>
      <c r="AD104" s="8" t="s">
        <v>32</v>
      </c>
      <c r="AE104" s="8" t="s">
        <v>32</v>
      </c>
      <c r="AF104" s="4">
        <f t="shared" si="2"/>
        <v>4450</v>
      </c>
      <c r="AG104" s="4">
        <f t="shared" si="3"/>
        <v>1287.6199999999999</v>
      </c>
      <c r="AH104" s="5" t="s">
        <v>184</v>
      </c>
      <c r="AI104" s="11" t="s">
        <v>551</v>
      </c>
      <c r="AJ104" s="11" t="s">
        <v>541</v>
      </c>
      <c r="AK104" s="11" t="s">
        <v>237</v>
      </c>
    </row>
    <row r="105" spans="1:37" x14ac:dyDescent="0.3">
      <c r="A105" s="8" t="s">
        <v>129</v>
      </c>
      <c r="B105" s="8" t="s">
        <v>130</v>
      </c>
      <c r="C105" s="7">
        <v>45303</v>
      </c>
      <c r="D105" s="8" t="s">
        <v>334</v>
      </c>
      <c r="E105" s="8" t="s">
        <v>549</v>
      </c>
      <c r="F105" s="8" t="s">
        <v>549</v>
      </c>
      <c r="G105" s="8" t="s">
        <v>550</v>
      </c>
      <c r="H105" s="9">
        <v>3082</v>
      </c>
      <c r="I105" s="9">
        <v>891.78</v>
      </c>
      <c r="L105" s="8" t="s">
        <v>79</v>
      </c>
      <c r="M105" s="8" t="s">
        <v>34</v>
      </c>
      <c r="N105" s="8" t="s">
        <v>29</v>
      </c>
      <c r="O105" s="8" t="s">
        <v>14</v>
      </c>
      <c r="P105" s="8" t="s">
        <v>30</v>
      </c>
      <c r="Q105" s="8" t="s">
        <v>549</v>
      </c>
      <c r="R105" s="8" t="s">
        <v>33</v>
      </c>
      <c r="S105" s="8" t="s">
        <v>530</v>
      </c>
      <c r="T105" s="8" t="s">
        <v>31</v>
      </c>
      <c r="U105" s="8" t="s">
        <v>32</v>
      </c>
      <c r="V105" s="8" t="s">
        <v>32</v>
      </c>
      <c r="W105" s="8" t="s">
        <v>33</v>
      </c>
      <c r="X105" s="8" t="s">
        <v>33</v>
      </c>
      <c r="Y105" s="8" t="s">
        <v>33</v>
      </c>
      <c r="Z105" s="8" t="s">
        <v>33</v>
      </c>
      <c r="AA105" s="8" t="s">
        <v>33</v>
      </c>
      <c r="AB105" s="8" t="s">
        <v>32</v>
      </c>
      <c r="AC105" s="8" t="s">
        <v>33</v>
      </c>
      <c r="AD105" s="8" t="s">
        <v>32</v>
      </c>
      <c r="AE105" s="8" t="s">
        <v>32</v>
      </c>
      <c r="AF105" s="4">
        <f t="shared" si="2"/>
        <v>3082</v>
      </c>
      <c r="AG105" s="4">
        <f t="shared" si="3"/>
        <v>891.78</v>
      </c>
      <c r="AH105" s="5" t="s">
        <v>185</v>
      </c>
      <c r="AI105" s="11" t="s">
        <v>553</v>
      </c>
      <c r="AJ105" s="11" t="s">
        <v>542</v>
      </c>
      <c r="AK105" s="11" t="s">
        <v>238</v>
      </c>
    </row>
    <row r="106" spans="1:37" x14ac:dyDescent="0.3">
      <c r="A106" s="8" t="s">
        <v>129</v>
      </c>
      <c r="B106" s="8" t="s">
        <v>130</v>
      </c>
      <c r="C106" s="7">
        <v>45303</v>
      </c>
      <c r="D106" s="8" t="s">
        <v>335</v>
      </c>
      <c r="E106" s="8" t="s">
        <v>549</v>
      </c>
      <c r="F106" s="8" t="s">
        <v>549</v>
      </c>
      <c r="G106" s="8" t="s">
        <v>550</v>
      </c>
      <c r="H106" s="9">
        <v>1107</v>
      </c>
      <c r="I106" s="9">
        <v>320.31</v>
      </c>
      <c r="L106" s="8" t="s">
        <v>79</v>
      </c>
      <c r="M106" s="8" t="s">
        <v>34</v>
      </c>
      <c r="N106" s="8" t="s">
        <v>29</v>
      </c>
      <c r="O106" s="8" t="s">
        <v>14</v>
      </c>
      <c r="P106" s="8" t="s">
        <v>30</v>
      </c>
      <c r="Q106" s="8" t="s">
        <v>549</v>
      </c>
      <c r="R106" s="8" t="s">
        <v>33</v>
      </c>
      <c r="S106" s="8" t="s">
        <v>530</v>
      </c>
      <c r="T106" s="8" t="s">
        <v>31</v>
      </c>
      <c r="U106" s="8" t="s">
        <v>32</v>
      </c>
      <c r="V106" s="8" t="s">
        <v>32</v>
      </c>
      <c r="W106" s="8" t="s">
        <v>33</v>
      </c>
      <c r="X106" s="8" t="s">
        <v>33</v>
      </c>
      <c r="Y106" s="8" t="s">
        <v>33</v>
      </c>
      <c r="Z106" s="8" t="s">
        <v>33</v>
      </c>
      <c r="AA106" s="8" t="s">
        <v>33</v>
      </c>
      <c r="AB106" s="8" t="s">
        <v>32</v>
      </c>
      <c r="AC106" s="8" t="s">
        <v>33</v>
      </c>
      <c r="AD106" s="8" t="s">
        <v>32</v>
      </c>
      <c r="AE106" s="8" t="s">
        <v>32</v>
      </c>
      <c r="AF106" s="4">
        <f t="shared" si="2"/>
        <v>1107</v>
      </c>
      <c r="AG106" s="4">
        <f t="shared" si="3"/>
        <v>320.31</v>
      </c>
      <c r="AH106" s="5" t="s">
        <v>185</v>
      </c>
      <c r="AI106" s="11" t="s">
        <v>553</v>
      </c>
      <c r="AJ106" s="11" t="s">
        <v>542</v>
      </c>
      <c r="AK106" s="11" t="s">
        <v>238</v>
      </c>
    </row>
    <row r="107" spans="1:37" x14ac:dyDescent="0.3">
      <c r="A107" s="8" t="s">
        <v>129</v>
      </c>
      <c r="B107" s="8" t="s">
        <v>130</v>
      </c>
      <c r="C107" s="7">
        <v>45303</v>
      </c>
      <c r="D107" s="8" t="s">
        <v>336</v>
      </c>
      <c r="E107" s="8" t="s">
        <v>549</v>
      </c>
      <c r="F107" s="8" t="s">
        <v>549</v>
      </c>
      <c r="G107" s="8" t="s">
        <v>550</v>
      </c>
      <c r="H107" s="9">
        <v>5367</v>
      </c>
      <c r="I107" s="9">
        <v>1552.95</v>
      </c>
      <c r="L107" s="8" t="s">
        <v>79</v>
      </c>
      <c r="M107" s="8" t="s">
        <v>34</v>
      </c>
      <c r="N107" s="8" t="s">
        <v>29</v>
      </c>
      <c r="O107" s="8" t="s">
        <v>14</v>
      </c>
      <c r="P107" s="8" t="s">
        <v>30</v>
      </c>
      <c r="Q107" s="8" t="s">
        <v>549</v>
      </c>
      <c r="R107" s="8" t="s">
        <v>33</v>
      </c>
      <c r="S107" s="8" t="s">
        <v>530</v>
      </c>
      <c r="T107" s="8" t="s">
        <v>31</v>
      </c>
      <c r="U107" s="8" t="s">
        <v>32</v>
      </c>
      <c r="V107" s="8" t="s">
        <v>32</v>
      </c>
      <c r="W107" s="8" t="s">
        <v>33</v>
      </c>
      <c r="X107" s="8" t="s">
        <v>33</v>
      </c>
      <c r="Y107" s="8" t="s">
        <v>33</v>
      </c>
      <c r="Z107" s="8" t="s">
        <v>33</v>
      </c>
      <c r="AA107" s="8" t="s">
        <v>33</v>
      </c>
      <c r="AB107" s="8" t="s">
        <v>32</v>
      </c>
      <c r="AC107" s="8" t="s">
        <v>33</v>
      </c>
      <c r="AD107" s="8" t="s">
        <v>32</v>
      </c>
      <c r="AE107" s="8" t="s">
        <v>32</v>
      </c>
      <c r="AF107" s="4">
        <f t="shared" si="2"/>
        <v>5367</v>
      </c>
      <c r="AG107" s="4">
        <f t="shared" si="3"/>
        <v>1552.95</v>
      </c>
      <c r="AH107" s="5" t="s">
        <v>185</v>
      </c>
      <c r="AI107" s="11" t="s">
        <v>553</v>
      </c>
      <c r="AJ107" s="11" t="s">
        <v>542</v>
      </c>
      <c r="AK107" s="11" t="s">
        <v>238</v>
      </c>
    </row>
    <row r="108" spans="1:37" x14ac:dyDescent="0.3">
      <c r="A108" s="8" t="s">
        <v>129</v>
      </c>
      <c r="B108" s="8" t="s">
        <v>130</v>
      </c>
      <c r="C108" s="7">
        <v>45303</v>
      </c>
      <c r="D108" s="8" t="s">
        <v>337</v>
      </c>
      <c r="E108" s="8" t="s">
        <v>549</v>
      </c>
      <c r="F108" s="8" t="s">
        <v>549</v>
      </c>
      <c r="G108" s="8" t="s">
        <v>550</v>
      </c>
      <c r="H108" s="9">
        <v>152</v>
      </c>
      <c r="I108" s="9">
        <v>43.98</v>
      </c>
      <c r="L108" s="8" t="s">
        <v>79</v>
      </c>
      <c r="M108" s="8" t="s">
        <v>34</v>
      </c>
      <c r="N108" s="8" t="s">
        <v>29</v>
      </c>
      <c r="O108" s="8" t="s">
        <v>14</v>
      </c>
      <c r="P108" s="8" t="s">
        <v>30</v>
      </c>
      <c r="Q108" s="8" t="s">
        <v>549</v>
      </c>
      <c r="R108" s="8" t="s">
        <v>33</v>
      </c>
      <c r="S108" s="8" t="s">
        <v>530</v>
      </c>
      <c r="T108" s="8" t="s">
        <v>31</v>
      </c>
      <c r="U108" s="8" t="s">
        <v>32</v>
      </c>
      <c r="V108" s="8" t="s">
        <v>32</v>
      </c>
      <c r="W108" s="8" t="s">
        <v>33</v>
      </c>
      <c r="X108" s="8" t="s">
        <v>33</v>
      </c>
      <c r="Y108" s="8" t="s">
        <v>33</v>
      </c>
      <c r="Z108" s="8" t="s">
        <v>33</v>
      </c>
      <c r="AA108" s="8" t="s">
        <v>33</v>
      </c>
      <c r="AB108" s="8" t="s">
        <v>32</v>
      </c>
      <c r="AC108" s="8" t="s">
        <v>33</v>
      </c>
      <c r="AD108" s="8" t="s">
        <v>32</v>
      </c>
      <c r="AE108" s="8" t="s">
        <v>32</v>
      </c>
      <c r="AF108" s="4">
        <f t="shared" si="2"/>
        <v>152</v>
      </c>
      <c r="AG108" s="4">
        <f t="shared" si="3"/>
        <v>43.98</v>
      </c>
      <c r="AH108" s="5" t="s">
        <v>185</v>
      </c>
      <c r="AI108" s="11" t="s">
        <v>553</v>
      </c>
      <c r="AJ108" s="11" t="s">
        <v>542</v>
      </c>
      <c r="AK108" s="11" t="s">
        <v>238</v>
      </c>
    </row>
    <row r="109" spans="1:37" x14ac:dyDescent="0.3">
      <c r="A109" s="8" t="s">
        <v>129</v>
      </c>
      <c r="B109" s="8" t="s">
        <v>130</v>
      </c>
      <c r="C109" s="7">
        <v>45303</v>
      </c>
      <c r="D109" s="8" t="s">
        <v>338</v>
      </c>
      <c r="E109" s="8" t="s">
        <v>549</v>
      </c>
      <c r="F109" s="8" t="s">
        <v>549</v>
      </c>
      <c r="G109" s="8" t="s">
        <v>550</v>
      </c>
      <c r="H109" s="9">
        <v>7891</v>
      </c>
      <c r="I109" s="9">
        <v>2283.2800000000002</v>
      </c>
      <c r="L109" s="8" t="s">
        <v>79</v>
      </c>
      <c r="M109" s="8" t="s">
        <v>34</v>
      </c>
      <c r="N109" s="8" t="s">
        <v>29</v>
      </c>
      <c r="O109" s="8" t="s">
        <v>14</v>
      </c>
      <c r="P109" s="8" t="s">
        <v>30</v>
      </c>
      <c r="Q109" s="8" t="s">
        <v>549</v>
      </c>
      <c r="R109" s="8" t="s">
        <v>33</v>
      </c>
      <c r="S109" s="8" t="s">
        <v>530</v>
      </c>
      <c r="T109" s="8" t="s">
        <v>31</v>
      </c>
      <c r="U109" s="8" t="s">
        <v>32</v>
      </c>
      <c r="V109" s="8" t="s">
        <v>32</v>
      </c>
      <c r="W109" s="8" t="s">
        <v>33</v>
      </c>
      <c r="X109" s="8" t="s">
        <v>33</v>
      </c>
      <c r="Y109" s="8" t="s">
        <v>33</v>
      </c>
      <c r="Z109" s="8" t="s">
        <v>33</v>
      </c>
      <c r="AA109" s="8" t="s">
        <v>33</v>
      </c>
      <c r="AB109" s="8" t="s">
        <v>32</v>
      </c>
      <c r="AC109" s="8" t="s">
        <v>33</v>
      </c>
      <c r="AD109" s="8" t="s">
        <v>32</v>
      </c>
      <c r="AE109" s="8" t="s">
        <v>32</v>
      </c>
      <c r="AF109" s="4">
        <f t="shared" si="2"/>
        <v>7891</v>
      </c>
      <c r="AG109" s="4">
        <f t="shared" si="3"/>
        <v>2283.2800000000002</v>
      </c>
      <c r="AH109" s="5" t="s">
        <v>185</v>
      </c>
      <c r="AI109" s="11" t="s">
        <v>553</v>
      </c>
      <c r="AJ109" s="11" t="s">
        <v>542</v>
      </c>
      <c r="AK109" s="11" t="s">
        <v>238</v>
      </c>
    </row>
    <row r="110" spans="1:37" x14ac:dyDescent="0.3">
      <c r="A110" s="8" t="s">
        <v>129</v>
      </c>
      <c r="B110" s="8" t="s">
        <v>130</v>
      </c>
      <c r="C110" s="7">
        <v>45303</v>
      </c>
      <c r="D110" s="8" t="s">
        <v>339</v>
      </c>
      <c r="E110" s="8" t="s">
        <v>549</v>
      </c>
      <c r="F110" s="8" t="s">
        <v>549</v>
      </c>
      <c r="G110" s="8" t="s">
        <v>550</v>
      </c>
      <c r="H110" s="9">
        <v>3740</v>
      </c>
      <c r="I110" s="9">
        <v>1082.18</v>
      </c>
      <c r="L110" s="8" t="s">
        <v>79</v>
      </c>
      <c r="M110" s="8" t="s">
        <v>34</v>
      </c>
      <c r="N110" s="8" t="s">
        <v>29</v>
      </c>
      <c r="O110" s="8" t="s">
        <v>14</v>
      </c>
      <c r="P110" s="8" t="s">
        <v>30</v>
      </c>
      <c r="Q110" s="8" t="s">
        <v>549</v>
      </c>
      <c r="R110" s="8" t="s">
        <v>33</v>
      </c>
      <c r="S110" s="8" t="s">
        <v>530</v>
      </c>
      <c r="T110" s="8" t="s">
        <v>31</v>
      </c>
      <c r="U110" s="8" t="s">
        <v>32</v>
      </c>
      <c r="V110" s="8" t="s">
        <v>32</v>
      </c>
      <c r="W110" s="8" t="s">
        <v>33</v>
      </c>
      <c r="X110" s="8" t="s">
        <v>33</v>
      </c>
      <c r="Y110" s="8" t="s">
        <v>33</v>
      </c>
      <c r="Z110" s="8" t="s">
        <v>33</v>
      </c>
      <c r="AA110" s="8" t="s">
        <v>33</v>
      </c>
      <c r="AB110" s="8" t="s">
        <v>32</v>
      </c>
      <c r="AC110" s="8" t="s">
        <v>33</v>
      </c>
      <c r="AD110" s="8" t="s">
        <v>32</v>
      </c>
      <c r="AE110" s="8" t="s">
        <v>32</v>
      </c>
      <c r="AF110" s="4">
        <f t="shared" si="2"/>
        <v>3740</v>
      </c>
      <c r="AG110" s="4">
        <f t="shared" si="3"/>
        <v>1082.18</v>
      </c>
      <c r="AH110" s="5" t="s">
        <v>185</v>
      </c>
      <c r="AI110" s="11" t="s">
        <v>553</v>
      </c>
      <c r="AJ110" s="11" t="s">
        <v>542</v>
      </c>
      <c r="AK110" s="11" t="s">
        <v>238</v>
      </c>
    </row>
    <row r="111" spans="1:37" x14ac:dyDescent="0.3">
      <c r="A111" s="8" t="s">
        <v>96</v>
      </c>
      <c r="B111" s="8" t="s">
        <v>97</v>
      </c>
      <c r="C111" s="7">
        <v>45303</v>
      </c>
      <c r="D111" s="8" t="s">
        <v>340</v>
      </c>
      <c r="E111" s="8" t="s">
        <v>549</v>
      </c>
      <c r="F111" s="8" t="s">
        <v>549</v>
      </c>
      <c r="G111" s="8" t="s">
        <v>550</v>
      </c>
      <c r="H111" s="9">
        <v>5904</v>
      </c>
      <c r="I111" s="9">
        <v>1708.33</v>
      </c>
      <c r="L111" s="8" t="s">
        <v>119</v>
      </c>
      <c r="M111" s="8" t="s">
        <v>28</v>
      </c>
      <c r="N111" s="8" t="s">
        <v>35</v>
      </c>
      <c r="O111" s="8" t="s">
        <v>14</v>
      </c>
      <c r="P111" s="8" t="s">
        <v>36</v>
      </c>
      <c r="Q111" s="8" t="s">
        <v>549</v>
      </c>
      <c r="R111" s="8" t="s">
        <v>33</v>
      </c>
      <c r="S111" s="8" t="s">
        <v>530</v>
      </c>
      <c r="T111" s="8" t="s">
        <v>37</v>
      </c>
      <c r="U111" s="8" t="s">
        <v>32</v>
      </c>
      <c r="V111" s="8" t="s">
        <v>32</v>
      </c>
      <c r="W111" s="8" t="s">
        <v>33</v>
      </c>
      <c r="X111" s="8" t="s">
        <v>33</v>
      </c>
      <c r="Y111" s="8" t="s">
        <v>33</v>
      </c>
      <c r="Z111" s="8" t="s">
        <v>33</v>
      </c>
      <c r="AA111" s="8" t="s">
        <v>33</v>
      </c>
      <c r="AB111" s="8" t="s">
        <v>32</v>
      </c>
      <c r="AC111" s="8" t="s">
        <v>33</v>
      </c>
      <c r="AD111" s="8" t="s">
        <v>32</v>
      </c>
      <c r="AE111" s="8" t="s">
        <v>32</v>
      </c>
      <c r="AF111" s="4">
        <f t="shared" si="2"/>
        <v>5904</v>
      </c>
      <c r="AG111" s="4">
        <f t="shared" si="3"/>
        <v>1708.33</v>
      </c>
      <c r="AH111" s="5" t="s">
        <v>184</v>
      </c>
      <c r="AI111" s="11" t="s">
        <v>221</v>
      </c>
      <c r="AJ111" s="11" t="s">
        <v>541</v>
      </c>
      <c r="AK111" s="11" t="s">
        <v>237</v>
      </c>
    </row>
    <row r="112" spans="1:37" x14ac:dyDescent="0.3">
      <c r="A112" s="8" t="s">
        <v>83</v>
      </c>
      <c r="B112" s="8" t="s">
        <v>84</v>
      </c>
      <c r="C112" s="7">
        <v>45304</v>
      </c>
      <c r="D112" s="8" t="s">
        <v>341</v>
      </c>
      <c r="E112" s="8" t="s">
        <v>549</v>
      </c>
      <c r="F112" s="8" t="s">
        <v>549</v>
      </c>
      <c r="G112" s="8" t="s">
        <v>550</v>
      </c>
      <c r="H112" s="9">
        <v>7757</v>
      </c>
      <c r="I112" s="9">
        <v>2244.5</v>
      </c>
      <c r="L112" s="8" t="s">
        <v>76</v>
      </c>
      <c r="M112" s="8" t="s">
        <v>34</v>
      </c>
      <c r="N112" s="8" t="s">
        <v>41</v>
      </c>
      <c r="O112" s="8" t="s">
        <v>14</v>
      </c>
      <c r="P112" s="8" t="s">
        <v>42</v>
      </c>
      <c r="Q112" s="8" t="s">
        <v>549</v>
      </c>
      <c r="R112" s="8" t="s">
        <v>33</v>
      </c>
      <c r="S112" s="8" t="s">
        <v>530</v>
      </c>
      <c r="T112" s="8" t="s">
        <v>80</v>
      </c>
      <c r="U112" s="8" t="s">
        <v>32</v>
      </c>
      <c r="V112" s="8" t="s">
        <v>32</v>
      </c>
      <c r="W112" s="8" t="s">
        <v>33</v>
      </c>
      <c r="X112" s="8" t="s">
        <v>33</v>
      </c>
      <c r="Y112" s="8" t="s">
        <v>33</v>
      </c>
      <c r="Z112" s="8" t="s">
        <v>33</v>
      </c>
      <c r="AA112" s="8" t="s">
        <v>33</v>
      </c>
      <c r="AB112" s="8" t="s">
        <v>32</v>
      </c>
      <c r="AC112" s="8" t="s">
        <v>33</v>
      </c>
      <c r="AD112" s="8" t="s">
        <v>32</v>
      </c>
      <c r="AE112" s="8" t="s">
        <v>32</v>
      </c>
      <c r="AF112" s="4">
        <f t="shared" si="2"/>
        <v>7757</v>
      </c>
      <c r="AG112" s="4">
        <f t="shared" si="3"/>
        <v>2244.5</v>
      </c>
      <c r="AH112" s="5" t="s">
        <v>185</v>
      </c>
      <c r="AI112" s="11" t="s">
        <v>213</v>
      </c>
      <c r="AJ112" s="11" t="s">
        <v>205</v>
      </c>
      <c r="AK112" s="11" t="s">
        <v>235</v>
      </c>
    </row>
    <row r="113" spans="1:37" x14ac:dyDescent="0.3">
      <c r="A113" s="8" t="s">
        <v>83</v>
      </c>
      <c r="B113" s="8" t="s">
        <v>84</v>
      </c>
      <c r="C113" s="7">
        <v>45305</v>
      </c>
      <c r="D113" s="8" t="s">
        <v>342</v>
      </c>
      <c r="E113" s="8" t="s">
        <v>549</v>
      </c>
      <c r="F113" s="8" t="s">
        <v>549</v>
      </c>
      <c r="G113" s="8" t="s">
        <v>550</v>
      </c>
      <c r="H113" s="9">
        <v>8247</v>
      </c>
      <c r="I113" s="9">
        <v>2386.2800000000002</v>
      </c>
      <c r="L113" s="8" t="s">
        <v>76</v>
      </c>
      <c r="M113" s="8" t="s">
        <v>34</v>
      </c>
      <c r="N113" s="8" t="s">
        <v>41</v>
      </c>
      <c r="O113" s="8" t="s">
        <v>14</v>
      </c>
      <c r="P113" s="8" t="s">
        <v>42</v>
      </c>
      <c r="Q113" s="8" t="s">
        <v>549</v>
      </c>
      <c r="R113" s="8" t="s">
        <v>33</v>
      </c>
      <c r="S113" s="8" t="s">
        <v>530</v>
      </c>
      <c r="T113" s="8" t="s">
        <v>80</v>
      </c>
      <c r="U113" s="8" t="s">
        <v>32</v>
      </c>
      <c r="V113" s="8" t="s">
        <v>32</v>
      </c>
      <c r="W113" s="8" t="s">
        <v>33</v>
      </c>
      <c r="X113" s="8" t="s">
        <v>33</v>
      </c>
      <c r="Y113" s="8" t="s">
        <v>33</v>
      </c>
      <c r="Z113" s="8" t="s">
        <v>33</v>
      </c>
      <c r="AA113" s="8" t="s">
        <v>33</v>
      </c>
      <c r="AB113" s="8" t="s">
        <v>32</v>
      </c>
      <c r="AC113" s="8" t="s">
        <v>33</v>
      </c>
      <c r="AD113" s="8" t="s">
        <v>32</v>
      </c>
      <c r="AE113" s="8" t="s">
        <v>32</v>
      </c>
      <c r="AF113" s="4">
        <f t="shared" si="2"/>
        <v>8247</v>
      </c>
      <c r="AG113" s="4">
        <f t="shared" si="3"/>
        <v>2386.2800000000002</v>
      </c>
      <c r="AH113" s="5" t="s">
        <v>185</v>
      </c>
      <c r="AI113" s="11" t="s">
        <v>213</v>
      </c>
      <c r="AJ113" s="11" t="s">
        <v>205</v>
      </c>
      <c r="AK113" s="11" t="s">
        <v>235</v>
      </c>
    </row>
    <row r="114" spans="1:37" x14ac:dyDescent="0.3">
      <c r="A114" s="8" t="s">
        <v>83</v>
      </c>
      <c r="B114" s="8" t="s">
        <v>84</v>
      </c>
      <c r="C114" s="7">
        <v>45305</v>
      </c>
      <c r="D114" s="8" t="s">
        <v>343</v>
      </c>
      <c r="E114" s="8" t="s">
        <v>549</v>
      </c>
      <c r="F114" s="8" t="s">
        <v>549</v>
      </c>
      <c r="G114" s="8" t="s">
        <v>550</v>
      </c>
      <c r="H114" s="9">
        <v>2674</v>
      </c>
      <c r="I114" s="9">
        <v>773.73</v>
      </c>
      <c r="L114" s="8" t="s">
        <v>76</v>
      </c>
      <c r="M114" s="8" t="s">
        <v>34</v>
      </c>
      <c r="N114" s="8" t="s">
        <v>41</v>
      </c>
      <c r="O114" s="8" t="s">
        <v>14</v>
      </c>
      <c r="P114" s="8" t="s">
        <v>42</v>
      </c>
      <c r="Q114" s="8" t="s">
        <v>549</v>
      </c>
      <c r="R114" s="8" t="s">
        <v>33</v>
      </c>
      <c r="S114" s="8" t="s">
        <v>530</v>
      </c>
      <c r="T114" s="8" t="s">
        <v>80</v>
      </c>
      <c r="U114" s="8" t="s">
        <v>32</v>
      </c>
      <c r="V114" s="8" t="s">
        <v>32</v>
      </c>
      <c r="W114" s="8" t="s">
        <v>33</v>
      </c>
      <c r="X114" s="8" t="s">
        <v>33</v>
      </c>
      <c r="Y114" s="8" t="s">
        <v>33</v>
      </c>
      <c r="Z114" s="8" t="s">
        <v>33</v>
      </c>
      <c r="AA114" s="8" t="s">
        <v>33</v>
      </c>
      <c r="AB114" s="8" t="s">
        <v>32</v>
      </c>
      <c r="AC114" s="8" t="s">
        <v>33</v>
      </c>
      <c r="AD114" s="8" t="s">
        <v>32</v>
      </c>
      <c r="AE114" s="8" t="s">
        <v>32</v>
      </c>
      <c r="AF114" s="4">
        <f t="shared" si="2"/>
        <v>2674</v>
      </c>
      <c r="AG114" s="4">
        <f t="shared" si="3"/>
        <v>773.73</v>
      </c>
      <c r="AH114" s="5" t="s">
        <v>185</v>
      </c>
      <c r="AI114" s="11" t="s">
        <v>213</v>
      </c>
      <c r="AJ114" s="11" t="s">
        <v>205</v>
      </c>
      <c r="AK114" s="11" t="s">
        <v>235</v>
      </c>
    </row>
    <row r="115" spans="1:37" x14ac:dyDescent="0.3">
      <c r="A115" s="8" t="s">
        <v>83</v>
      </c>
      <c r="B115" s="8" t="s">
        <v>84</v>
      </c>
      <c r="C115" s="7">
        <v>45305</v>
      </c>
      <c r="D115" s="8" t="s">
        <v>344</v>
      </c>
      <c r="E115" s="8" t="s">
        <v>549</v>
      </c>
      <c r="F115" s="8" t="s">
        <v>549</v>
      </c>
      <c r="G115" s="8" t="s">
        <v>550</v>
      </c>
      <c r="H115" s="9">
        <v>445</v>
      </c>
      <c r="I115" s="9">
        <v>128.76</v>
      </c>
      <c r="L115" s="8" t="s">
        <v>76</v>
      </c>
      <c r="M115" s="8" t="s">
        <v>34</v>
      </c>
      <c r="N115" s="8" t="s">
        <v>41</v>
      </c>
      <c r="O115" s="8" t="s">
        <v>14</v>
      </c>
      <c r="P115" s="8" t="s">
        <v>42</v>
      </c>
      <c r="Q115" s="8" t="s">
        <v>549</v>
      </c>
      <c r="R115" s="8" t="s">
        <v>33</v>
      </c>
      <c r="S115" s="8" t="s">
        <v>530</v>
      </c>
      <c r="T115" s="8" t="s">
        <v>80</v>
      </c>
      <c r="U115" s="8" t="s">
        <v>32</v>
      </c>
      <c r="V115" s="8" t="s">
        <v>32</v>
      </c>
      <c r="W115" s="8" t="s">
        <v>33</v>
      </c>
      <c r="X115" s="8" t="s">
        <v>33</v>
      </c>
      <c r="Y115" s="8" t="s">
        <v>33</v>
      </c>
      <c r="Z115" s="8" t="s">
        <v>33</v>
      </c>
      <c r="AA115" s="8" t="s">
        <v>33</v>
      </c>
      <c r="AB115" s="8" t="s">
        <v>32</v>
      </c>
      <c r="AC115" s="8" t="s">
        <v>33</v>
      </c>
      <c r="AD115" s="8" t="s">
        <v>32</v>
      </c>
      <c r="AE115" s="8" t="s">
        <v>32</v>
      </c>
      <c r="AF115" s="4">
        <f t="shared" si="2"/>
        <v>445</v>
      </c>
      <c r="AG115" s="4">
        <f t="shared" si="3"/>
        <v>128.76</v>
      </c>
      <c r="AH115" s="5" t="s">
        <v>185</v>
      </c>
      <c r="AI115" s="11" t="s">
        <v>213</v>
      </c>
      <c r="AJ115" s="11" t="s">
        <v>205</v>
      </c>
      <c r="AK115" s="11" t="s">
        <v>235</v>
      </c>
    </row>
    <row r="116" spans="1:37" x14ac:dyDescent="0.3">
      <c r="A116" s="8" t="s">
        <v>83</v>
      </c>
      <c r="B116" s="8" t="s">
        <v>84</v>
      </c>
      <c r="C116" s="7">
        <v>45306</v>
      </c>
      <c r="D116" s="8" t="s">
        <v>345</v>
      </c>
      <c r="E116" s="8" t="s">
        <v>549</v>
      </c>
      <c r="F116" s="8" t="s">
        <v>549</v>
      </c>
      <c r="G116" s="8" t="s">
        <v>550</v>
      </c>
      <c r="H116" s="9">
        <v>6531</v>
      </c>
      <c r="I116" s="9">
        <v>1889.76</v>
      </c>
      <c r="L116" s="8" t="s">
        <v>105</v>
      </c>
      <c r="M116" s="8" t="s">
        <v>34</v>
      </c>
      <c r="N116" s="8" t="s">
        <v>41</v>
      </c>
      <c r="O116" s="8" t="s">
        <v>14</v>
      </c>
      <c r="P116" s="8" t="s">
        <v>42</v>
      </c>
      <c r="Q116" s="8" t="s">
        <v>549</v>
      </c>
      <c r="R116" s="8" t="s">
        <v>33</v>
      </c>
      <c r="S116" s="8" t="s">
        <v>530</v>
      </c>
      <c r="T116" s="8" t="s">
        <v>80</v>
      </c>
      <c r="U116" s="8" t="s">
        <v>32</v>
      </c>
      <c r="V116" s="8" t="s">
        <v>32</v>
      </c>
      <c r="W116" s="8" t="s">
        <v>33</v>
      </c>
      <c r="X116" s="8" t="s">
        <v>33</v>
      </c>
      <c r="Y116" s="8" t="s">
        <v>33</v>
      </c>
      <c r="Z116" s="8" t="s">
        <v>33</v>
      </c>
      <c r="AA116" s="8" t="s">
        <v>33</v>
      </c>
      <c r="AB116" s="8" t="s">
        <v>32</v>
      </c>
      <c r="AC116" s="8" t="s">
        <v>33</v>
      </c>
      <c r="AD116" s="8" t="s">
        <v>32</v>
      </c>
      <c r="AE116" s="8" t="s">
        <v>32</v>
      </c>
      <c r="AF116" s="4">
        <f t="shared" si="2"/>
        <v>6531</v>
      </c>
      <c r="AG116" s="4">
        <f t="shared" si="3"/>
        <v>1889.76</v>
      </c>
      <c r="AH116" s="5" t="s">
        <v>185</v>
      </c>
      <c r="AI116" s="11" t="s">
        <v>213</v>
      </c>
      <c r="AJ116" s="11" t="s">
        <v>209</v>
      </c>
      <c r="AK116" s="11" t="s">
        <v>235</v>
      </c>
    </row>
    <row r="117" spans="1:37" x14ac:dyDescent="0.3">
      <c r="A117" s="8" t="s">
        <v>83</v>
      </c>
      <c r="B117" s="8" t="s">
        <v>84</v>
      </c>
      <c r="C117" s="7">
        <v>45306</v>
      </c>
      <c r="D117" s="8" t="s">
        <v>346</v>
      </c>
      <c r="E117" s="8" t="s">
        <v>549</v>
      </c>
      <c r="F117" s="8" t="s">
        <v>549</v>
      </c>
      <c r="G117" s="8" t="s">
        <v>550</v>
      </c>
      <c r="H117" s="9">
        <v>6549</v>
      </c>
      <c r="I117" s="9">
        <v>1894.97</v>
      </c>
      <c r="L117" s="8" t="s">
        <v>76</v>
      </c>
      <c r="M117" s="8" t="s">
        <v>34</v>
      </c>
      <c r="N117" s="8" t="s">
        <v>41</v>
      </c>
      <c r="O117" s="8" t="s">
        <v>14</v>
      </c>
      <c r="P117" s="8" t="s">
        <v>42</v>
      </c>
      <c r="Q117" s="8" t="s">
        <v>549</v>
      </c>
      <c r="R117" s="8" t="s">
        <v>33</v>
      </c>
      <c r="S117" s="8" t="s">
        <v>530</v>
      </c>
      <c r="T117" s="8" t="s">
        <v>80</v>
      </c>
      <c r="U117" s="8" t="s">
        <v>32</v>
      </c>
      <c r="V117" s="8" t="s">
        <v>32</v>
      </c>
      <c r="W117" s="8" t="s">
        <v>33</v>
      </c>
      <c r="X117" s="8" t="s">
        <v>33</v>
      </c>
      <c r="Y117" s="8" t="s">
        <v>33</v>
      </c>
      <c r="Z117" s="8" t="s">
        <v>33</v>
      </c>
      <c r="AA117" s="8" t="s">
        <v>33</v>
      </c>
      <c r="AB117" s="8" t="s">
        <v>32</v>
      </c>
      <c r="AC117" s="8" t="s">
        <v>33</v>
      </c>
      <c r="AD117" s="8" t="s">
        <v>32</v>
      </c>
      <c r="AE117" s="8" t="s">
        <v>32</v>
      </c>
      <c r="AF117" s="4">
        <f t="shared" si="2"/>
        <v>6549</v>
      </c>
      <c r="AG117" s="4">
        <f t="shared" si="3"/>
        <v>1894.97</v>
      </c>
      <c r="AH117" s="5" t="s">
        <v>185</v>
      </c>
      <c r="AI117" s="11" t="s">
        <v>213</v>
      </c>
      <c r="AJ117" s="11" t="s">
        <v>205</v>
      </c>
      <c r="AK117" s="11" t="s">
        <v>235</v>
      </c>
    </row>
    <row r="118" spans="1:37" x14ac:dyDescent="0.3">
      <c r="A118" s="8" t="s">
        <v>83</v>
      </c>
      <c r="B118" s="8" t="s">
        <v>84</v>
      </c>
      <c r="C118" s="7">
        <v>45306</v>
      </c>
      <c r="D118" s="8" t="s">
        <v>347</v>
      </c>
      <c r="E118" s="8" t="s">
        <v>549</v>
      </c>
      <c r="F118" s="8" t="s">
        <v>549</v>
      </c>
      <c r="G118" s="8" t="s">
        <v>550</v>
      </c>
      <c r="H118" s="9">
        <v>8814</v>
      </c>
      <c r="I118" s="9">
        <v>2550.35</v>
      </c>
      <c r="L118" s="8" t="s">
        <v>105</v>
      </c>
      <c r="M118" s="8" t="s">
        <v>34</v>
      </c>
      <c r="N118" s="8" t="s">
        <v>41</v>
      </c>
      <c r="O118" s="8" t="s">
        <v>14</v>
      </c>
      <c r="P118" s="8" t="s">
        <v>42</v>
      </c>
      <c r="Q118" s="8" t="s">
        <v>549</v>
      </c>
      <c r="R118" s="8" t="s">
        <v>33</v>
      </c>
      <c r="S118" s="8" t="s">
        <v>530</v>
      </c>
      <c r="T118" s="8" t="s">
        <v>80</v>
      </c>
      <c r="U118" s="8" t="s">
        <v>32</v>
      </c>
      <c r="V118" s="8" t="s">
        <v>32</v>
      </c>
      <c r="W118" s="8" t="s">
        <v>33</v>
      </c>
      <c r="X118" s="8" t="s">
        <v>33</v>
      </c>
      <c r="Y118" s="8" t="s">
        <v>33</v>
      </c>
      <c r="Z118" s="8" t="s">
        <v>33</v>
      </c>
      <c r="AA118" s="8" t="s">
        <v>33</v>
      </c>
      <c r="AB118" s="8" t="s">
        <v>32</v>
      </c>
      <c r="AC118" s="8" t="s">
        <v>33</v>
      </c>
      <c r="AD118" s="8" t="s">
        <v>32</v>
      </c>
      <c r="AE118" s="8" t="s">
        <v>32</v>
      </c>
      <c r="AF118" s="4">
        <f t="shared" si="2"/>
        <v>8814</v>
      </c>
      <c r="AG118" s="4">
        <f t="shared" si="3"/>
        <v>2550.35</v>
      </c>
      <c r="AH118" s="5" t="s">
        <v>185</v>
      </c>
      <c r="AI118" s="11" t="s">
        <v>213</v>
      </c>
      <c r="AJ118" s="11" t="s">
        <v>209</v>
      </c>
      <c r="AK118" s="11" t="s">
        <v>235</v>
      </c>
    </row>
    <row r="119" spans="1:37" x14ac:dyDescent="0.3">
      <c r="A119" s="8" t="s">
        <v>83</v>
      </c>
      <c r="B119" s="8" t="s">
        <v>84</v>
      </c>
      <c r="C119" s="7">
        <v>45306</v>
      </c>
      <c r="D119" s="8" t="s">
        <v>348</v>
      </c>
      <c r="E119" s="8" t="s">
        <v>549</v>
      </c>
      <c r="F119" s="8" t="s">
        <v>549</v>
      </c>
      <c r="G119" s="8" t="s">
        <v>550</v>
      </c>
      <c r="H119" s="9">
        <v>363</v>
      </c>
      <c r="I119" s="9">
        <v>105.03</v>
      </c>
      <c r="L119" s="8" t="s">
        <v>76</v>
      </c>
      <c r="M119" s="8" t="s">
        <v>34</v>
      </c>
      <c r="N119" s="8" t="s">
        <v>41</v>
      </c>
      <c r="O119" s="8" t="s">
        <v>14</v>
      </c>
      <c r="P119" s="8" t="s">
        <v>42</v>
      </c>
      <c r="Q119" s="8" t="s">
        <v>549</v>
      </c>
      <c r="R119" s="8" t="s">
        <v>33</v>
      </c>
      <c r="S119" s="8" t="s">
        <v>530</v>
      </c>
      <c r="T119" s="8" t="s">
        <v>80</v>
      </c>
      <c r="U119" s="8" t="s">
        <v>32</v>
      </c>
      <c r="V119" s="8" t="s">
        <v>32</v>
      </c>
      <c r="W119" s="8" t="s">
        <v>33</v>
      </c>
      <c r="X119" s="8" t="s">
        <v>33</v>
      </c>
      <c r="Y119" s="8" t="s">
        <v>33</v>
      </c>
      <c r="Z119" s="8" t="s">
        <v>33</v>
      </c>
      <c r="AA119" s="8" t="s">
        <v>33</v>
      </c>
      <c r="AB119" s="8" t="s">
        <v>32</v>
      </c>
      <c r="AC119" s="8" t="s">
        <v>33</v>
      </c>
      <c r="AD119" s="8" t="s">
        <v>32</v>
      </c>
      <c r="AE119" s="8" t="s">
        <v>32</v>
      </c>
      <c r="AF119" s="4">
        <f t="shared" si="2"/>
        <v>363</v>
      </c>
      <c r="AG119" s="4">
        <f t="shared" si="3"/>
        <v>105.03</v>
      </c>
      <c r="AH119" s="5" t="s">
        <v>185</v>
      </c>
      <c r="AI119" s="11" t="s">
        <v>213</v>
      </c>
      <c r="AJ119" s="11" t="s">
        <v>205</v>
      </c>
      <c r="AK119" s="11" t="s">
        <v>235</v>
      </c>
    </row>
    <row r="120" spans="1:37" x14ac:dyDescent="0.3">
      <c r="A120" s="8" t="s">
        <v>83</v>
      </c>
      <c r="B120" s="8" t="s">
        <v>84</v>
      </c>
      <c r="C120" s="7">
        <v>45306</v>
      </c>
      <c r="D120" s="8" t="s">
        <v>349</v>
      </c>
      <c r="E120" s="8" t="s">
        <v>549</v>
      </c>
      <c r="F120" s="8" t="s">
        <v>549</v>
      </c>
      <c r="G120" s="8" t="s">
        <v>550</v>
      </c>
      <c r="H120" s="9">
        <v>1537</v>
      </c>
      <c r="I120" s="9">
        <v>444.73</v>
      </c>
      <c r="L120" s="8" t="s">
        <v>76</v>
      </c>
      <c r="M120" s="8" t="s">
        <v>34</v>
      </c>
      <c r="N120" s="8" t="s">
        <v>41</v>
      </c>
      <c r="O120" s="8" t="s">
        <v>14</v>
      </c>
      <c r="P120" s="8" t="s">
        <v>42</v>
      </c>
      <c r="Q120" s="8" t="s">
        <v>549</v>
      </c>
      <c r="R120" s="8" t="s">
        <v>33</v>
      </c>
      <c r="S120" s="8" t="s">
        <v>530</v>
      </c>
      <c r="T120" s="8" t="s">
        <v>80</v>
      </c>
      <c r="U120" s="8" t="s">
        <v>32</v>
      </c>
      <c r="V120" s="8" t="s">
        <v>32</v>
      </c>
      <c r="W120" s="8" t="s">
        <v>33</v>
      </c>
      <c r="X120" s="8" t="s">
        <v>33</v>
      </c>
      <c r="Y120" s="8" t="s">
        <v>33</v>
      </c>
      <c r="Z120" s="8" t="s">
        <v>33</v>
      </c>
      <c r="AA120" s="8" t="s">
        <v>33</v>
      </c>
      <c r="AB120" s="8" t="s">
        <v>32</v>
      </c>
      <c r="AC120" s="8" t="s">
        <v>33</v>
      </c>
      <c r="AD120" s="8" t="s">
        <v>32</v>
      </c>
      <c r="AE120" s="8" t="s">
        <v>32</v>
      </c>
      <c r="AF120" s="4">
        <f t="shared" si="2"/>
        <v>1537</v>
      </c>
      <c r="AG120" s="4">
        <f t="shared" si="3"/>
        <v>444.73</v>
      </c>
      <c r="AH120" s="5" t="s">
        <v>185</v>
      </c>
      <c r="AI120" s="11" t="s">
        <v>213</v>
      </c>
      <c r="AJ120" s="11" t="s">
        <v>205</v>
      </c>
      <c r="AK120" s="11" t="s">
        <v>235</v>
      </c>
    </row>
    <row r="121" spans="1:37" x14ac:dyDescent="0.3">
      <c r="A121" s="8" t="s">
        <v>83</v>
      </c>
      <c r="B121" s="8" t="s">
        <v>84</v>
      </c>
      <c r="C121" s="7">
        <v>45306</v>
      </c>
      <c r="D121" s="8" t="s">
        <v>350</v>
      </c>
      <c r="E121" s="8" t="s">
        <v>549</v>
      </c>
      <c r="F121" s="8" t="s">
        <v>549</v>
      </c>
      <c r="G121" s="8" t="s">
        <v>550</v>
      </c>
      <c r="H121" s="9">
        <v>8963</v>
      </c>
      <c r="I121" s="9">
        <v>2593.46</v>
      </c>
      <c r="L121" s="8" t="s">
        <v>76</v>
      </c>
      <c r="M121" s="8" t="s">
        <v>34</v>
      </c>
      <c r="N121" s="8" t="s">
        <v>41</v>
      </c>
      <c r="O121" s="8" t="s">
        <v>14</v>
      </c>
      <c r="P121" s="8" t="s">
        <v>42</v>
      </c>
      <c r="Q121" s="8" t="s">
        <v>549</v>
      </c>
      <c r="R121" s="8" t="s">
        <v>33</v>
      </c>
      <c r="S121" s="8" t="s">
        <v>530</v>
      </c>
      <c r="T121" s="8" t="s">
        <v>80</v>
      </c>
      <c r="U121" s="8" t="s">
        <v>32</v>
      </c>
      <c r="V121" s="8" t="s">
        <v>32</v>
      </c>
      <c r="W121" s="8" t="s">
        <v>33</v>
      </c>
      <c r="X121" s="8" t="s">
        <v>33</v>
      </c>
      <c r="Y121" s="8" t="s">
        <v>33</v>
      </c>
      <c r="Z121" s="8" t="s">
        <v>33</v>
      </c>
      <c r="AA121" s="8" t="s">
        <v>33</v>
      </c>
      <c r="AB121" s="8" t="s">
        <v>32</v>
      </c>
      <c r="AC121" s="8" t="s">
        <v>33</v>
      </c>
      <c r="AD121" s="8" t="s">
        <v>32</v>
      </c>
      <c r="AE121" s="8" t="s">
        <v>32</v>
      </c>
      <c r="AF121" s="4">
        <f t="shared" si="2"/>
        <v>8963</v>
      </c>
      <c r="AG121" s="4">
        <f t="shared" si="3"/>
        <v>2593.46</v>
      </c>
      <c r="AH121" s="5" t="s">
        <v>185</v>
      </c>
      <c r="AI121" s="11" t="s">
        <v>213</v>
      </c>
      <c r="AJ121" s="11" t="s">
        <v>205</v>
      </c>
      <c r="AK121" s="11" t="s">
        <v>235</v>
      </c>
    </row>
    <row r="122" spans="1:37" x14ac:dyDescent="0.3">
      <c r="A122" s="8" t="s">
        <v>83</v>
      </c>
      <c r="B122" s="8" t="s">
        <v>84</v>
      </c>
      <c r="C122" s="7">
        <v>45306</v>
      </c>
      <c r="D122" s="8" t="s">
        <v>351</v>
      </c>
      <c r="E122" s="8" t="s">
        <v>549</v>
      </c>
      <c r="F122" s="8" t="s">
        <v>549</v>
      </c>
      <c r="G122" s="8" t="s">
        <v>550</v>
      </c>
      <c r="H122" s="9">
        <v>1120</v>
      </c>
      <c r="I122" s="9">
        <v>324.07</v>
      </c>
      <c r="L122" s="8" t="s">
        <v>105</v>
      </c>
      <c r="M122" s="8" t="s">
        <v>34</v>
      </c>
      <c r="N122" s="8" t="s">
        <v>41</v>
      </c>
      <c r="O122" s="8" t="s">
        <v>14</v>
      </c>
      <c r="P122" s="8" t="s">
        <v>42</v>
      </c>
      <c r="Q122" s="8" t="s">
        <v>549</v>
      </c>
      <c r="R122" s="8" t="s">
        <v>33</v>
      </c>
      <c r="S122" s="8" t="s">
        <v>530</v>
      </c>
      <c r="T122" s="8" t="s">
        <v>80</v>
      </c>
      <c r="U122" s="8" t="s">
        <v>32</v>
      </c>
      <c r="V122" s="8" t="s">
        <v>32</v>
      </c>
      <c r="W122" s="8" t="s">
        <v>33</v>
      </c>
      <c r="X122" s="8" t="s">
        <v>33</v>
      </c>
      <c r="Y122" s="8" t="s">
        <v>33</v>
      </c>
      <c r="Z122" s="8" t="s">
        <v>33</v>
      </c>
      <c r="AA122" s="8" t="s">
        <v>33</v>
      </c>
      <c r="AB122" s="8" t="s">
        <v>32</v>
      </c>
      <c r="AC122" s="8" t="s">
        <v>33</v>
      </c>
      <c r="AD122" s="8" t="s">
        <v>32</v>
      </c>
      <c r="AE122" s="8" t="s">
        <v>32</v>
      </c>
      <c r="AF122" s="4">
        <f t="shared" si="2"/>
        <v>1120</v>
      </c>
      <c r="AG122" s="4">
        <f t="shared" si="3"/>
        <v>324.07</v>
      </c>
      <c r="AH122" s="5" t="s">
        <v>185</v>
      </c>
      <c r="AI122" s="11" t="s">
        <v>213</v>
      </c>
      <c r="AJ122" s="11" t="s">
        <v>209</v>
      </c>
      <c r="AK122" s="11" t="s">
        <v>235</v>
      </c>
    </row>
    <row r="123" spans="1:37" x14ac:dyDescent="0.3">
      <c r="A123" s="8" t="s">
        <v>83</v>
      </c>
      <c r="B123" s="8" t="s">
        <v>84</v>
      </c>
      <c r="C123" s="7">
        <v>45306</v>
      </c>
      <c r="D123" s="8" t="s">
        <v>352</v>
      </c>
      <c r="E123" s="8" t="s">
        <v>549</v>
      </c>
      <c r="F123" s="8" t="s">
        <v>549</v>
      </c>
      <c r="G123" s="8" t="s">
        <v>550</v>
      </c>
      <c r="H123" s="9">
        <v>473</v>
      </c>
      <c r="I123" s="9">
        <v>136.86000000000001</v>
      </c>
      <c r="L123" s="8" t="s">
        <v>76</v>
      </c>
      <c r="M123" s="8" t="s">
        <v>34</v>
      </c>
      <c r="N123" s="8" t="s">
        <v>41</v>
      </c>
      <c r="O123" s="8" t="s">
        <v>14</v>
      </c>
      <c r="P123" s="8" t="s">
        <v>42</v>
      </c>
      <c r="Q123" s="8" t="s">
        <v>549</v>
      </c>
      <c r="R123" s="8" t="s">
        <v>33</v>
      </c>
      <c r="S123" s="8" t="s">
        <v>530</v>
      </c>
      <c r="T123" s="8" t="s">
        <v>80</v>
      </c>
      <c r="U123" s="8" t="s">
        <v>32</v>
      </c>
      <c r="V123" s="8" t="s">
        <v>32</v>
      </c>
      <c r="W123" s="8" t="s">
        <v>33</v>
      </c>
      <c r="X123" s="8" t="s">
        <v>33</v>
      </c>
      <c r="Y123" s="8" t="s">
        <v>33</v>
      </c>
      <c r="Z123" s="8" t="s">
        <v>33</v>
      </c>
      <c r="AA123" s="8" t="s">
        <v>33</v>
      </c>
      <c r="AB123" s="8" t="s">
        <v>32</v>
      </c>
      <c r="AC123" s="8" t="s">
        <v>33</v>
      </c>
      <c r="AD123" s="8" t="s">
        <v>32</v>
      </c>
      <c r="AE123" s="8" t="s">
        <v>32</v>
      </c>
      <c r="AF123" s="4">
        <f t="shared" si="2"/>
        <v>473</v>
      </c>
      <c r="AG123" s="4">
        <f t="shared" si="3"/>
        <v>136.86000000000001</v>
      </c>
      <c r="AH123" s="5" t="s">
        <v>185</v>
      </c>
      <c r="AI123" s="11" t="s">
        <v>213</v>
      </c>
      <c r="AJ123" s="11" t="s">
        <v>205</v>
      </c>
      <c r="AK123" s="11" t="s">
        <v>235</v>
      </c>
    </row>
    <row r="124" spans="1:37" x14ac:dyDescent="0.3">
      <c r="A124" s="8" t="s">
        <v>150</v>
      </c>
      <c r="B124" s="8" t="s">
        <v>151</v>
      </c>
      <c r="C124" s="7">
        <v>45306</v>
      </c>
      <c r="D124" s="8" t="s">
        <v>353</v>
      </c>
      <c r="E124" s="8" t="s">
        <v>549</v>
      </c>
      <c r="F124" s="8" t="s">
        <v>549</v>
      </c>
      <c r="G124" s="8" t="s">
        <v>550</v>
      </c>
      <c r="H124" s="9">
        <v>6469</v>
      </c>
      <c r="I124" s="9">
        <v>1871.82</v>
      </c>
      <c r="L124" s="8" t="s">
        <v>119</v>
      </c>
      <c r="M124" s="8" t="s">
        <v>34</v>
      </c>
      <c r="N124" s="8" t="s">
        <v>29</v>
      </c>
      <c r="O124" s="8" t="s">
        <v>14</v>
      </c>
      <c r="P124" s="8" t="s">
        <v>30</v>
      </c>
      <c r="Q124" s="8" t="s">
        <v>549</v>
      </c>
      <c r="R124" s="8" t="s">
        <v>33</v>
      </c>
      <c r="S124" s="8" t="s">
        <v>530</v>
      </c>
      <c r="T124" s="8" t="s">
        <v>31</v>
      </c>
      <c r="U124" s="8" t="s">
        <v>32</v>
      </c>
      <c r="V124" s="8" t="s">
        <v>32</v>
      </c>
      <c r="W124" s="8" t="s">
        <v>33</v>
      </c>
      <c r="X124" s="8" t="s">
        <v>33</v>
      </c>
      <c r="Y124" s="8" t="s">
        <v>33</v>
      </c>
      <c r="Z124" s="8" t="s">
        <v>33</v>
      </c>
      <c r="AA124" s="8" t="s">
        <v>33</v>
      </c>
      <c r="AB124" s="8" t="s">
        <v>32</v>
      </c>
      <c r="AC124" s="8" t="s">
        <v>33</v>
      </c>
      <c r="AD124" s="8" t="s">
        <v>32</v>
      </c>
      <c r="AE124" s="8" t="s">
        <v>32</v>
      </c>
      <c r="AF124" s="4">
        <f t="shared" si="2"/>
        <v>6469</v>
      </c>
      <c r="AG124" s="4">
        <f t="shared" si="3"/>
        <v>1871.82</v>
      </c>
      <c r="AH124" s="5" t="s">
        <v>184</v>
      </c>
      <c r="AI124" s="11" t="s">
        <v>551</v>
      </c>
      <c r="AJ124" s="11" t="s">
        <v>541</v>
      </c>
      <c r="AK124" s="11" t="s">
        <v>237</v>
      </c>
    </row>
    <row r="125" spans="1:37" x14ac:dyDescent="0.3">
      <c r="A125" s="8" t="s">
        <v>150</v>
      </c>
      <c r="B125" s="8" t="s">
        <v>151</v>
      </c>
      <c r="C125" s="7">
        <v>45306</v>
      </c>
      <c r="D125" s="8" t="s">
        <v>353</v>
      </c>
      <c r="E125" s="8" t="s">
        <v>549</v>
      </c>
      <c r="F125" s="8" t="s">
        <v>549</v>
      </c>
      <c r="G125" s="8" t="s">
        <v>550</v>
      </c>
      <c r="H125" s="9">
        <v>2654</v>
      </c>
      <c r="I125" s="9">
        <v>767.94</v>
      </c>
      <c r="L125" s="8" t="s">
        <v>119</v>
      </c>
      <c r="M125" s="8" t="s">
        <v>38</v>
      </c>
      <c r="N125" s="8" t="s">
        <v>29</v>
      </c>
      <c r="O125" s="8" t="s">
        <v>14</v>
      </c>
      <c r="P125" s="8" t="s">
        <v>30</v>
      </c>
      <c r="Q125" s="8" t="s">
        <v>549</v>
      </c>
      <c r="R125" s="8" t="s">
        <v>33</v>
      </c>
      <c r="S125" s="8" t="s">
        <v>530</v>
      </c>
      <c r="T125" s="8" t="s">
        <v>31</v>
      </c>
      <c r="U125" s="8" t="s">
        <v>32</v>
      </c>
      <c r="V125" s="8" t="s">
        <v>32</v>
      </c>
      <c r="W125" s="8" t="s">
        <v>33</v>
      </c>
      <c r="X125" s="8" t="s">
        <v>33</v>
      </c>
      <c r="Y125" s="8" t="s">
        <v>33</v>
      </c>
      <c r="Z125" s="8" t="s">
        <v>33</v>
      </c>
      <c r="AA125" s="8" t="s">
        <v>33</v>
      </c>
      <c r="AB125" s="8" t="s">
        <v>32</v>
      </c>
      <c r="AC125" s="8" t="s">
        <v>33</v>
      </c>
      <c r="AD125" s="8" t="s">
        <v>32</v>
      </c>
      <c r="AE125" s="8" t="s">
        <v>32</v>
      </c>
      <c r="AF125" s="4">
        <f t="shared" si="2"/>
        <v>2654</v>
      </c>
      <c r="AG125" s="4">
        <f t="shared" si="3"/>
        <v>767.94</v>
      </c>
      <c r="AH125" s="5" t="s">
        <v>184</v>
      </c>
      <c r="AI125" s="11" t="s">
        <v>551</v>
      </c>
      <c r="AJ125" s="11" t="s">
        <v>541</v>
      </c>
      <c r="AK125" s="11" t="s">
        <v>237</v>
      </c>
    </row>
    <row r="126" spans="1:37" x14ac:dyDescent="0.3">
      <c r="A126" s="8" t="s">
        <v>83</v>
      </c>
      <c r="B126" s="8" t="s">
        <v>84</v>
      </c>
      <c r="C126" s="7">
        <v>45307</v>
      </c>
      <c r="D126" s="8" t="s">
        <v>354</v>
      </c>
      <c r="E126" s="8" t="s">
        <v>549</v>
      </c>
      <c r="F126" s="8" t="s">
        <v>549</v>
      </c>
      <c r="G126" s="8" t="s">
        <v>550</v>
      </c>
      <c r="H126" s="9">
        <v>8137</v>
      </c>
      <c r="I126" s="9">
        <v>2354.46</v>
      </c>
      <c r="L126" s="8" t="s">
        <v>76</v>
      </c>
      <c r="M126" s="8" t="s">
        <v>34</v>
      </c>
      <c r="N126" s="8" t="s">
        <v>41</v>
      </c>
      <c r="O126" s="8" t="s">
        <v>14</v>
      </c>
      <c r="P126" s="8" t="s">
        <v>42</v>
      </c>
      <c r="Q126" s="8" t="s">
        <v>549</v>
      </c>
      <c r="R126" s="8" t="s">
        <v>33</v>
      </c>
      <c r="S126" s="8" t="s">
        <v>530</v>
      </c>
      <c r="T126" s="8" t="s">
        <v>80</v>
      </c>
      <c r="U126" s="8" t="s">
        <v>32</v>
      </c>
      <c r="V126" s="8" t="s">
        <v>32</v>
      </c>
      <c r="W126" s="8" t="s">
        <v>33</v>
      </c>
      <c r="X126" s="8" t="s">
        <v>33</v>
      </c>
      <c r="Y126" s="8" t="s">
        <v>33</v>
      </c>
      <c r="Z126" s="8" t="s">
        <v>33</v>
      </c>
      <c r="AA126" s="8" t="s">
        <v>33</v>
      </c>
      <c r="AB126" s="8" t="s">
        <v>32</v>
      </c>
      <c r="AC126" s="8" t="s">
        <v>33</v>
      </c>
      <c r="AD126" s="8" t="s">
        <v>32</v>
      </c>
      <c r="AE126" s="8" t="s">
        <v>32</v>
      </c>
      <c r="AF126" s="4">
        <f t="shared" si="2"/>
        <v>8137</v>
      </c>
      <c r="AG126" s="4">
        <f t="shared" si="3"/>
        <v>2354.46</v>
      </c>
      <c r="AH126" s="5" t="s">
        <v>185</v>
      </c>
      <c r="AI126" s="11" t="s">
        <v>213</v>
      </c>
      <c r="AJ126" s="11" t="s">
        <v>205</v>
      </c>
      <c r="AK126" s="11" t="s">
        <v>235</v>
      </c>
    </row>
    <row r="127" spans="1:37" x14ac:dyDescent="0.3">
      <c r="A127" s="8" t="s">
        <v>83</v>
      </c>
      <c r="B127" s="8" t="s">
        <v>84</v>
      </c>
      <c r="C127" s="7">
        <v>45307</v>
      </c>
      <c r="D127" s="8" t="s">
        <v>355</v>
      </c>
      <c r="E127" s="8" t="s">
        <v>549</v>
      </c>
      <c r="F127" s="8" t="s">
        <v>549</v>
      </c>
      <c r="G127" s="8" t="s">
        <v>550</v>
      </c>
      <c r="H127" s="9">
        <v>1618</v>
      </c>
      <c r="I127" s="9">
        <v>468.17</v>
      </c>
      <c r="L127" s="8" t="s">
        <v>76</v>
      </c>
      <c r="M127" s="8" t="s">
        <v>34</v>
      </c>
      <c r="N127" s="8" t="s">
        <v>41</v>
      </c>
      <c r="O127" s="8" t="s">
        <v>14</v>
      </c>
      <c r="P127" s="8" t="s">
        <v>42</v>
      </c>
      <c r="Q127" s="8" t="s">
        <v>549</v>
      </c>
      <c r="R127" s="8" t="s">
        <v>33</v>
      </c>
      <c r="S127" s="8" t="s">
        <v>530</v>
      </c>
      <c r="T127" s="8" t="s">
        <v>80</v>
      </c>
      <c r="U127" s="8" t="s">
        <v>32</v>
      </c>
      <c r="V127" s="8" t="s">
        <v>32</v>
      </c>
      <c r="W127" s="8" t="s">
        <v>33</v>
      </c>
      <c r="X127" s="8" t="s">
        <v>33</v>
      </c>
      <c r="Y127" s="8" t="s">
        <v>33</v>
      </c>
      <c r="Z127" s="8" t="s">
        <v>33</v>
      </c>
      <c r="AA127" s="8" t="s">
        <v>33</v>
      </c>
      <c r="AB127" s="8" t="s">
        <v>32</v>
      </c>
      <c r="AC127" s="8" t="s">
        <v>33</v>
      </c>
      <c r="AD127" s="8" t="s">
        <v>32</v>
      </c>
      <c r="AE127" s="8" t="s">
        <v>32</v>
      </c>
      <c r="AF127" s="4">
        <f t="shared" si="2"/>
        <v>1618</v>
      </c>
      <c r="AG127" s="4">
        <f t="shared" si="3"/>
        <v>468.17</v>
      </c>
      <c r="AH127" s="5" t="s">
        <v>185</v>
      </c>
      <c r="AI127" s="11" t="s">
        <v>213</v>
      </c>
      <c r="AJ127" s="11" t="s">
        <v>205</v>
      </c>
      <c r="AK127" s="11" t="s">
        <v>235</v>
      </c>
    </row>
    <row r="128" spans="1:37" x14ac:dyDescent="0.3">
      <c r="A128" s="8" t="s">
        <v>83</v>
      </c>
      <c r="B128" s="8" t="s">
        <v>84</v>
      </c>
      <c r="C128" s="7">
        <v>45307</v>
      </c>
      <c r="D128" s="8" t="s">
        <v>356</v>
      </c>
      <c r="E128" s="8" t="s">
        <v>549</v>
      </c>
      <c r="F128" s="8" t="s">
        <v>549</v>
      </c>
      <c r="G128" s="8" t="s">
        <v>550</v>
      </c>
      <c r="H128" s="9">
        <v>4257</v>
      </c>
      <c r="I128" s="9">
        <v>1231.77</v>
      </c>
      <c r="L128" s="8" t="s">
        <v>76</v>
      </c>
      <c r="M128" s="8" t="s">
        <v>34</v>
      </c>
      <c r="N128" s="8" t="s">
        <v>41</v>
      </c>
      <c r="O128" s="8" t="s">
        <v>14</v>
      </c>
      <c r="P128" s="8" t="s">
        <v>42</v>
      </c>
      <c r="Q128" s="8" t="s">
        <v>549</v>
      </c>
      <c r="R128" s="8" t="s">
        <v>33</v>
      </c>
      <c r="S128" s="8" t="s">
        <v>530</v>
      </c>
      <c r="T128" s="8" t="s">
        <v>80</v>
      </c>
      <c r="U128" s="8" t="s">
        <v>32</v>
      </c>
      <c r="V128" s="8" t="s">
        <v>32</v>
      </c>
      <c r="W128" s="8" t="s">
        <v>33</v>
      </c>
      <c r="X128" s="8" t="s">
        <v>33</v>
      </c>
      <c r="Y128" s="8" t="s">
        <v>33</v>
      </c>
      <c r="Z128" s="8" t="s">
        <v>33</v>
      </c>
      <c r="AA128" s="8" t="s">
        <v>33</v>
      </c>
      <c r="AB128" s="8" t="s">
        <v>32</v>
      </c>
      <c r="AC128" s="8" t="s">
        <v>33</v>
      </c>
      <c r="AD128" s="8" t="s">
        <v>32</v>
      </c>
      <c r="AE128" s="8" t="s">
        <v>32</v>
      </c>
      <c r="AF128" s="4">
        <f t="shared" si="2"/>
        <v>4257</v>
      </c>
      <c r="AG128" s="4">
        <f t="shared" si="3"/>
        <v>1231.77</v>
      </c>
      <c r="AH128" s="5" t="s">
        <v>185</v>
      </c>
      <c r="AI128" s="11" t="s">
        <v>213</v>
      </c>
      <c r="AJ128" s="11" t="s">
        <v>205</v>
      </c>
      <c r="AK128" s="11" t="s">
        <v>235</v>
      </c>
    </row>
    <row r="129" spans="1:37" x14ac:dyDescent="0.3">
      <c r="A129" s="8" t="s">
        <v>83</v>
      </c>
      <c r="B129" s="8" t="s">
        <v>84</v>
      </c>
      <c r="C129" s="7">
        <v>45307</v>
      </c>
      <c r="D129" s="8" t="s">
        <v>357</v>
      </c>
      <c r="E129" s="8" t="s">
        <v>549</v>
      </c>
      <c r="F129" s="8" t="s">
        <v>549</v>
      </c>
      <c r="G129" s="8" t="s">
        <v>550</v>
      </c>
      <c r="H129" s="9">
        <v>6865</v>
      </c>
      <c r="I129" s="9">
        <v>1986.4</v>
      </c>
      <c r="L129" s="8" t="s">
        <v>105</v>
      </c>
      <c r="M129" s="8" t="s">
        <v>34</v>
      </c>
      <c r="N129" s="8" t="s">
        <v>41</v>
      </c>
      <c r="O129" s="8" t="s">
        <v>14</v>
      </c>
      <c r="P129" s="8" t="s">
        <v>42</v>
      </c>
      <c r="Q129" s="8" t="s">
        <v>549</v>
      </c>
      <c r="R129" s="8" t="s">
        <v>33</v>
      </c>
      <c r="S129" s="8" t="s">
        <v>530</v>
      </c>
      <c r="T129" s="8" t="s">
        <v>80</v>
      </c>
      <c r="U129" s="8" t="s">
        <v>32</v>
      </c>
      <c r="V129" s="8" t="s">
        <v>32</v>
      </c>
      <c r="W129" s="8" t="s">
        <v>33</v>
      </c>
      <c r="X129" s="8" t="s">
        <v>33</v>
      </c>
      <c r="Y129" s="8" t="s">
        <v>33</v>
      </c>
      <c r="Z129" s="8" t="s">
        <v>33</v>
      </c>
      <c r="AA129" s="8" t="s">
        <v>33</v>
      </c>
      <c r="AB129" s="8" t="s">
        <v>32</v>
      </c>
      <c r="AC129" s="8" t="s">
        <v>33</v>
      </c>
      <c r="AD129" s="8" t="s">
        <v>32</v>
      </c>
      <c r="AE129" s="8" t="s">
        <v>32</v>
      </c>
      <c r="AF129" s="4">
        <f t="shared" si="2"/>
        <v>6865</v>
      </c>
      <c r="AG129" s="4">
        <f t="shared" si="3"/>
        <v>1986.4</v>
      </c>
      <c r="AH129" s="5" t="s">
        <v>185</v>
      </c>
      <c r="AI129" s="11" t="s">
        <v>213</v>
      </c>
      <c r="AJ129" s="11" t="s">
        <v>209</v>
      </c>
      <c r="AK129" s="11" t="s">
        <v>235</v>
      </c>
    </row>
    <row r="130" spans="1:37" x14ac:dyDescent="0.3">
      <c r="A130" s="8" t="s">
        <v>98</v>
      </c>
      <c r="B130" s="8" t="s">
        <v>99</v>
      </c>
      <c r="C130" s="7">
        <v>45307</v>
      </c>
      <c r="D130" s="8" t="s">
        <v>358</v>
      </c>
      <c r="E130" s="8" t="s">
        <v>549</v>
      </c>
      <c r="F130" s="8" t="s">
        <v>549</v>
      </c>
      <c r="G130" s="8" t="s">
        <v>550</v>
      </c>
      <c r="H130" s="9">
        <v>2275</v>
      </c>
      <c r="I130" s="9">
        <v>658.28</v>
      </c>
      <c r="L130" s="8" t="s">
        <v>79</v>
      </c>
      <c r="M130" s="8" t="s">
        <v>34</v>
      </c>
      <c r="N130" s="8" t="s">
        <v>29</v>
      </c>
      <c r="O130" s="8" t="s">
        <v>14</v>
      </c>
      <c r="P130" s="8" t="s">
        <v>30</v>
      </c>
      <c r="Q130" s="8" t="s">
        <v>549</v>
      </c>
      <c r="R130" s="8" t="s">
        <v>33</v>
      </c>
      <c r="S130" s="8" t="s">
        <v>530</v>
      </c>
      <c r="T130" s="8" t="s">
        <v>31</v>
      </c>
      <c r="U130" s="8" t="s">
        <v>32</v>
      </c>
      <c r="V130" s="8" t="s">
        <v>32</v>
      </c>
      <c r="W130" s="8" t="s">
        <v>33</v>
      </c>
      <c r="X130" s="8" t="s">
        <v>33</v>
      </c>
      <c r="Y130" s="8" t="s">
        <v>33</v>
      </c>
      <c r="Z130" s="8" t="s">
        <v>33</v>
      </c>
      <c r="AA130" s="8" t="s">
        <v>33</v>
      </c>
      <c r="AB130" s="8" t="s">
        <v>32</v>
      </c>
      <c r="AC130" s="8" t="s">
        <v>33</v>
      </c>
      <c r="AD130" s="8" t="s">
        <v>32</v>
      </c>
      <c r="AE130" s="8" t="s">
        <v>32</v>
      </c>
      <c r="AF130" s="4">
        <f t="shared" ref="AF130:AF193" si="4">+H130-J130</f>
        <v>2275</v>
      </c>
      <c r="AG130" s="4">
        <f t="shared" ref="AG130:AG193" si="5">+I130-K130</f>
        <v>658.28</v>
      </c>
      <c r="AH130" s="5" t="s">
        <v>185</v>
      </c>
      <c r="AI130" s="11" t="s">
        <v>219</v>
      </c>
      <c r="AJ130" s="11" t="s">
        <v>542</v>
      </c>
      <c r="AK130" s="11" t="s">
        <v>238</v>
      </c>
    </row>
    <row r="131" spans="1:37" x14ac:dyDescent="0.3">
      <c r="A131" s="8" t="s">
        <v>98</v>
      </c>
      <c r="B131" s="8" t="s">
        <v>99</v>
      </c>
      <c r="C131" s="7">
        <v>45307</v>
      </c>
      <c r="D131" s="8" t="s">
        <v>359</v>
      </c>
      <c r="E131" s="8" t="s">
        <v>549</v>
      </c>
      <c r="F131" s="8" t="s">
        <v>549</v>
      </c>
      <c r="G131" s="8" t="s">
        <v>550</v>
      </c>
      <c r="H131" s="9">
        <v>7181</v>
      </c>
      <c r="I131" s="9">
        <v>2077.84</v>
      </c>
      <c r="L131" s="8" t="s">
        <v>79</v>
      </c>
      <c r="M131" s="8" t="s">
        <v>34</v>
      </c>
      <c r="N131" s="8" t="s">
        <v>29</v>
      </c>
      <c r="O131" s="8" t="s">
        <v>14</v>
      </c>
      <c r="P131" s="8" t="s">
        <v>30</v>
      </c>
      <c r="Q131" s="8" t="s">
        <v>549</v>
      </c>
      <c r="R131" s="8" t="s">
        <v>33</v>
      </c>
      <c r="S131" s="8" t="s">
        <v>530</v>
      </c>
      <c r="T131" s="8" t="s">
        <v>31</v>
      </c>
      <c r="U131" s="8" t="s">
        <v>32</v>
      </c>
      <c r="V131" s="8" t="s">
        <v>32</v>
      </c>
      <c r="W131" s="8" t="s">
        <v>33</v>
      </c>
      <c r="X131" s="8" t="s">
        <v>33</v>
      </c>
      <c r="Y131" s="8" t="s">
        <v>33</v>
      </c>
      <c r="Z131" s="8" t="s">
        <v>33</v>
      </c>
      <c r="AA131" s="8" t="s">
        <v>33</v>
      </c>
      <c r="AB131" s="8" t="s">
        <v>32</v>
      </c>
      <c r="AC131" s="8" t="s">
        <v>33</v>
      </c>
      <c r="AD131" s="8" t="s">
        <v>32</v>
      </c>
      <c r="AE131" s="8" t="s">
        <v>32</v>
      </c>
      <c r="AF131" s="4">
        <f t="shared" si="4"/>
        <v>7181</v>
      </c>
      <c r="AG131" s="4">
        <f t="shared" si="5"/>
        <v>2077.84</v>
      </c>
      <c r="AH131" s="5" t="s">
        <v>185</v>
      </c>
      <c r="AI131" s="11" t="s">
        <v>219</v>
      </c>
      <c r="AJ131" s="11" t="s">
        <v>542</v>
      </c>
      <c r="AK131" s="11" t="s">
        <v>238</v>
      </c>
    </row>
    <row r="132" spans="1:37" x14ac:dyDescent="0.3">
      <c r="A132" s="8" t="s">
        <v>101</v>
      </c>
      <c r="B132" s="8" t="s">
        <v>102</v>
      </c>
      <c r="C132" s="7">
        <v>45307</v>
      </c>
      <c r="D132" s="8" t="s">
        <v>360</v>
      </c>
      <c r="E132" s="8" t="s">
        <v>549</v>
      </c>
      <c r="F132" s="8" t="s">
        <v>549</v>
      </c>
      <c r="G132" s="8" t="s">
        <v>550</v>
      </c>
      <c r="H132" s="9">
        <v>1879</v>
      </c>
      <c r="I132" s="9">
        <v>543.69000000000005</v>
      </c>
      <c r="L132" s="8" t="s">
        <v>79</v>
      </c>
      <c r="M132" s="8" t="s">
        <v>34</v>
      </c>
      <c r="N132" s="8" t="s">
        <v>29</v>
      </c>
      <c r="O132" s="8" t="s">
        <v>14</v>
      </c>
      <c r="P132" s="8" t="s">
        <v>30</v>
      </c>
      <c r="Q132" s="8" t="s">
        <v>549</v>
      </c>
      <c r="R132" s="8" t="s">
        <v>33</v>
      </c>
      <c r="S132" s="8" t="s">
        <v>530</v>
      </c>
      <c r="T132" s="8" t="s">
        <v>31</v>
      </c>
      <c r="U132" s="8" t="s">
        <v>32</v>
      </c>
      <c r="V132" s="8" t="s">
        <v>32</v>
      </c>
      <c r="W132" s="8" t="s">
        <v>33</v>
      </c>
      <c r="X132" s="8" t="s">
        <v>33</v>
      </c>
      <c r="Y132" s="8" t="s">
        <v>33</v>
      </c>
      <c r="Z132" s="8" t="s">
        <v>33</v>
      </c>
      <c r="AA132" s="8" t="s">
        <v>33</v>
      </c>
      <c r="AB132" s="8" t="s">
        <v>32</v>
      </c>
      <c r="AC132" s="8" t="s">
        <v>33</v>
      </c>
      <c r="AD132" s="8" t="s">
        <v>32</v>
      </c>
      <c r="AE132" s="8" t="s">
        <v>32</v>
      </c>
      <c r="AF132" s="4">
        <f t="shared" si="4"/>
        <v>1879</v>
      </c>
      <c r="AG132" s="4">
        <f t="shared" si="5"/>
        <v>543.69000000000005</v>
      </c>
      <c r="AH132" s="5" t="s">
        <v>185</v>
      </c>
      <c r="AI132" s="11" t="s">
        <v>223</v>
      </c>
      <c r="AJ132" s="11" t="s">
        <v>542</v>
      </c>
      <c r="AK132" s="11" t="s">
        <v>238</v>
      </c>
    </row>
    <row r="133" spans="1:37" x14ac:dyDescent="0.3">
      <c r="A133" s="8" t="s">
        <v>150</v>
      </c>
      <c r="B133" s="8" t="s">
        <v>151</v>
      </c>
      <c r="C133" s="7">
        <v>45307</v>
      </c>
      <c r="D133" s="8" t="s">
        <v>361</v>
      </c>
      <c r="E133" s="8" t="s">
        <v>549</v>
      </c>
      <c r="F133" s="8" t="s">
        <v>549</v>
      </c>
      <c r="G133" s="8" t="s">
        <v>550</v>
      </c>
      <c r="H133" s="9">
        <v>3695</v>
      </c>
      <c r="I133" s="9">
        <v>1069.1600000000001</v>
      </c>
      <c r="L133" s="8" t="s">
        <v>119</v>
      </c>
      <c r="M133" s="8" t="s">
        <v>34</v>
      </c>
      <c r="N133" s="8" t="s">
        <v>29</v>
      </c>
      <c r="O133" s="8" t="s">
        <v>14</v>
      </c>
      <c r="P133" s="8" t="s">
        <v>30</v>
      </c>
      <c r="Q133" s="8" t="s">
        <v>549</v>
      </c>
      <c r="R133" s="8" t="s">
        <v>33</v>
      </c>
      <c r="S133" s="8" t="s">
        <v>530</v>
      </c>
      <c r="T133" s="8" t="s">
        <v>31</v>
      </c>
      <c r="U133" s="8" t="s">
        <v>32</v>
      </c>
      <c r="V133" s="8" t="s">
        <v>32</v>
      </c>
      <c r="W133" s="8" t="s">
        <v>33</v>
      </c>
      <c r="X133" s="8" t="s">
        <v>33</v>
      </c>
      <c r="Y133" s="8" t="s">
        <v>33</v>
      </c>
      <c r="Z133" s="8" t="s">
        <v>33</v>
      </c>
      <c r="AA133" s="8" t="s">
        <v>33</v>
      </c>
      <c r="AB133" s="8" t="s">
        <v>32</v>
      </c>
      <c r="AC133" s="8" t="s">
        <v>33</v>
      </c>
      <c r="AD133" s="8" t="s">
        <v>32</v>
      </c>
      <c r="AE133" s="8" t="s">
        <v>32</v>
      </c>
      <c r="AF133" s="4">
        <f t="shared" si="4"/>
        <v>3695</v>
      </c>
      <c r="AG133" s="4">
        <f t="shared" si="5"/>
        <v>1069.1600000000001</v>
      </c>
      <c r="AH133" s="5" t="s">
        <v>184</v>
      </c>
      <c r="AI133" s="11" t="s">
        <v>551</v>
      </c>
      <c r="AJ133" s="11" t="s">
        <v>541</v>
      </c>
      <c r="AK133" s="11" t="s">
        <v>237</v>
      </c>
    </row>
    <row r="134" spans="1:37" x14ac:dyDescent="0.3">
      <c r="A134" s="8" t="s">
        <v>150</v>
      </c>
      <c r="B134" s="8" t="s">
        <v>151</v>
      </c>
      <c r="C134" s="7">
        <v>45307</v>
      </c>
      <c r="D134" s="8" t="s">
        <v>361</v>
      </c>
      <c r="E134" s="8" t="s">
        <v>549</v>
      </c>
      <c r="F134" s="8" t="s">
        <v>549</v>
      </c>
      <c r="G134" s="8" t="s">
        <v>550</v>
      </c>
      <c r="H134" s="9">
        <v>1063</v>
      </c>
      <c r="I134" s="9">
        <v>307.58</v>
      </c>
      <c r="L134" s="8" t="s">
        <v>119</v>
      </c>
      <c r="M134" s="8" t="s">
        <v>38</v>
      </c>
      <c r="N134" s="8" t="s">
        <v>29</v>
      </c>
      <c r="O134" s="8" t="s">
        <v>14</v>
      </c>
      <c r="P134" s="8" t="s">
        <v>30</v>
      </c>
      <c r="Q134" s="8" t="s">
        <v>549</v>
      </c>
      <c r="R134" s="8" t="s">
        <v>33</v>
      </c>
      <c r="S134" s="8" t="s">
        <v>530</v>
      </c>
      <c r="T134" s="8" t="s">
        <v>31</v>
      </c>
      <c r="U134" s="8" t="s">
        <v>32</v>
      </c>
      <c r="V134" s="8" t="s">
        <v>32</v>
      </c>
      <c r="W134" s="8" t="s">
        <v>33</v>
      </c>
      <c r="X134" s="8" t="s">
        <v>33</v>
      </c>
      <c r="Y134" s="8" t="s">
        <v>33</v>
      </c>
      <c r="Z134" s="8" t="s">
        <v>33</v>
      </c>
      <c r="AA134" s="8" t="s">
        <v>33</v>
      </c>
      <c r="AB134" s="8" t="s">
        <v>32</v>
      </c>
      <c r="AC134" s="8" t="s">
        <v>33</v>
      </c>
      <c r="AD134" s="8" t="s">
        <v>32</v>
      </c>
      <c r="AE134" s="8" t="s">
        <v>32</v>
      </c>
      <c r="AF134" s="4">
        <f t="shared" si="4"/>
        <v>1063</v>
      </c>
      <c r="AG134" s="4">
        <f t="shared" si="5"/>
        <v>307.58</v>
      </c>
      <c r="AH134" s="5" t="s">
        <v>184</v>
      </c>
      <c r="AI134" s="11" t="s">
        <v>551</v>
      </c>
      <c r="AJ134" s="11" t="s">
        <v>541</v>
      </c>
      <c r="AK134" s="11" t="s">
        <v>237</v>
      </c>
    </row>
    <row r="135" spans="1:37" x14ac:dyDescent="0.3">
      <c r="A135" s="8" t="s">
        <v>150</v>
      </c>
      <c r="B135" s="8" t="s">
        <v>151</v>
      </c>
      <c r="C135" s="7">
        <v>45307</v>
      </c>
      <c r="D135" s="8" t="s">
        <v>362</v>
      </c>
      <c r="E135" s="8" t="s">
        <v>549</v>
      </c>
      <c r="F135" s="8" t="s">
        <v>549</v>
      </c>
      <c r="G135" s="8" t="s">
        <v>550</v>
      </c>
      <c r="H135" s="9">
        <v>8133</v>
      </c>
      <c r="I135" s="9">
        <v>2353.3000000000002</v>
      </c>
      <c r="L135" s="8" t="s">
        <v>119</v>
      </c>
      <c r="M135" s="8" t="s">
        <v>34</v>
      </c>
      <c r="N135" s="8" t="s">
        <v>29</v>
      </c>
      <c r="O135" s="8" t="s">
        <v>14</v>
      </c>
      <c r="P135" s="8" t="s">
        <v>30</v>
      </c>
      <c r="Q135" s="8" t="s">
        <v>549</v>
      </c>
      <c r="R135" s="8" t="s">
        <v>33</v>
      </c>
      <c r="S135" s="8" t="s">
        <v>530</v>
      </c>
      <c r="T135" s="8" t="s">
        <v>31</v>
      </c>
      <c r="U135" s="8" t="s">
        <v>32</v>
      </c>
      <c r="V135" s="8" t="s">
        <v>32</v>
      </c>
      <c r="W135" s="8" t="s">
        <v>33</v>
      </c>
      <c r="X135" s="8" t="s">
        <v>33</v>
      </c>
      <c r="Y135" s="8" t="s">
        <v>33</v>
      </c>
      <c r="Z135" s="8" t="s">
        <v>33</v>
      </c>
      <c r="AA135" s="8" t="s">
        <v>33</v>
      </c>
      <c r="AB135" s="8" t="s">
        <v>32</v>
      </c>
      <c r="AC135" s="8" t="s">
        <v>33</v>
      </c>
      <c r="AD135" s="8" t="s">
        <v>32</v>
      </c>
      <c r="AE135" s="8" t="s">
        <v>32</v>
      </c>
      <c r="AF135" s="4">
        <f t="shared" si="4"/>
        <v>8133</v>
      </c>
      <c r="AG135" s="4">
        <f t="shared" si="5"/>
        <v>2353.3000000000002</v>
      </c>
      <c r="AH135" s="5" t="s">
        <v>184</v>
      </c>
      <c r="AI135" s="11" t="s">
        <v>551</v>
      </c>
      <c r="AJ135" s="11" t="s">
        <v>541</v>
      </c>
      <c r="AK135" s="11" t="s">
        <v>237</v>
      </c>
    </row>
    <row r="136" spans="1:37" x14ac:dyDescent="0.3">
      <c r="A136" s="8" t="s">
        <v>150</v>
      </c>
      <c r="B136" s="8" t="s">
        <v>151</v>
      </c>
      <c r="C136" s="7">
        <v>45307</v>
      </c>
      <c r="D136" s="8" t="s">
        <v>362</v>
      </c>
      <c r="E136" s="8" t="s">
        <v>549</v>
      </c>
      <c r="F136" s="8" t="s">
        <v>549</v>
      </c>
      <c r="G136" s="8" t="s">
        <v>550</v>
      </c>
      <c r="H136" s="9">
        <v>3428</v>
      </c>
      <c r="I136" s="9">
        <v>991.9</v>
      </c>
      <c r="L136" s="8" t="s">
        <v>119</v>
      </c>
      <c r="M136" s="8" t="s">
        <v>38</v>
      </c>
      <c r="N136" s="8" t="s">
        <v>29</v>
      </c>
      <c r="O136" s="8" t="s">
        <v>14</v>
      </c>
      <c r="P136" s="8" t="s">
        <v>30</v>
      </c>
      <c r="Q136" s="8" t="s">
        <v>549</v>
      </c>
      <c r="R136" s="8" t="s">
        <v>33</v>
      </c>
      <c r="S136" s="8" t="s">
        <v>530</v>
      </c>
      <c r="T136" s="8" t="s">
        <v>31</v>
      </c>
      <c r="U136" s="8" t="s">
        <v>32</v>
      </c>
      <c r="V136" s="8" t="s">
        <v>32</v>
      </c>
      <c r="W136" s="8" t="s">
        <v>33</v>
      </c>
      <c r="X136" s="8" t="s">
        <v>33</v>
      </c>
      <c r="Y136" s="8" t="s">
        <v>33</v>
      </c>
      <c r="Z136" s="8" t="s">
        <v>33</v>
      </c>
      <c r="AA136" s="8" t="s">
        <v>33</v>
      </c>
      <c r="AB136" s="8" t="s">
        <v>32</v>
      </c>
      <c r="AC136" s="8" t="s">
        <v>33</v>
      </c>
      <c r="AD136" s="8" t="s">
        <v>32</v>
      </c>
      <c r="AE136" s="8" t="s">
        <v>32</v>
      </c>
      <c r="AF136" s="4">
        <f t="shared" si="4"/>
        <v>3428</v>
      </c>
      <c r="AG136" s="4">
        <f t="shared" si="5"/>
        <v>991.9</v>
      </c>
      <c r="AH136" s="5" t="s">
        <v>184</v>
      </c>
      <c r="AI136" s="11" t="s">
        <v>551</v>
      </c>
      <c r="AJ136" s="11" t="s">
        <v>541</v>
      </c>
      <c r="AK136" s="11" t="s">
        <v>237</v>
      </c>
    </row>
    <row r="137" spans="1:37" x14ac:dyDescent="0.3">
      <c r="A137" s="8" t="s">
        <v>83</v>
      </c>
      <c r="B137" s="8" t="s">
        <v>84</v>
      </c>
      <c r="C137" s="7">
        <v>45308</v>
      </c>
      <c r="D137" s="8" t="s">
        <v>363</v>
      </c>
      <c r="E137" s="8" t="s">
        <v>549</v>
      </c>
      <c r="F137" s="8" t="s">
        <v>549</v>
      </c>
      <c r="G137" s="8" t="s">
        <v>550</v>
      </c>
      <c r="H137" s="9">
        <v>453</v>
      </c>
      <c r="I137" s="9">
        <v>131.08000000000001</v>
      </c>
      <c r="L137" s="8" t="s">
        <v>105</v>
      </c>
      <c r="M137" s="8" t="s">
        <v>34</v>
      </c>
      <c r="N137" s="8" t="s">
        <v>41</v>
      </c>
      <c r="O137" s="8" t="s">
        <v>14</v>
      </c>
      <c r="P137" s="8" t="s">
        <v>42</v>
      </c>
      <c r="Q137" s="8" t="s">
        <v>549</v>
      </c>
      <c r="R137" s="8" t="s">
        <v>33</v>
      </c>
      <c r="S137" s="8" t="s">
        <v>530</v>
      </c>
      <c r="T137" s="8" t="s">
        <v>80</v>
      </c>
      <c r="U137" s="8" t="s">
        <v>32</v>
      </c>
      <c r="V137" s="8" t="s">
        <v>32</v>
      </c>
      <c r="W137" s="8" t="s">
        <v>33</v>
      </c>
      <c r="X137" s="8" t="s">
        <v>33</v>
      </c>
      <c r="Y137" s="8" t="s">
        <v>33</v>
      </c>
      <c r="Z137" s="8" t="s">
        <v>33</v>
      </c>
      <c r="AA137" s="8" t="s">
        <v>33</v>
      </c>
      <c r="AB137" s="8" t="s">
        <v>32</v>
      </c>
      <c r="AC137" s="8" t="s">
        <v>33</v>
      </c>
      <c r="AD137" s="8" t="s">
        <v>32</v>
      </c>
      <c r="AE137" s="8" t="s">
        <v>32</v>
      </c>
      <c r="AF137" s="4">
        <f t="shared" si="4"/>
        <v>453</v>
      </c>
      <c r="AG137" s="4">
        <f t="shared" si="5"/>
        <v>131.08000000000001</v>
      </c>
      <c r="AH137" s="5" t="s">
        <v>185</v>
      </c>
      <c r="AI137" s="11" t="s">
        <v>213</v>
      </c>
      <c r="AJ137" s="11" t="s">
        <v>209</v>
      </c>
      <c r="AK137" s="11" t="s">
        <v>235</v>
      </c>
    </row>
    <row r="138" spans="1:37" x14ac:dyDescent="0.3">
      <c r="A138" s="8" t="s">
        <v>83</v>
      </c>
      <c r="B138" s="8" t="s">
        <v>84</v>
      </c>
      <c r="C138" s="7">
        <v>45308</v>
      </c>
      <c r="D138" s="8" t="s">
        <v>364</v>
      </c>
      <c r="E138" s="8" t="s">
        <v>549</v>
      </c>
      <c r="F138" s="8" t="s">
        <v>549</v>
      </c>
      <c r="G138" s="8" t="s">
        <v>550</v>
      </c>
      <c r="H138" s="9">
        <v>127</v>
      </c>
      <c r="I138" s="9">
        <v>36.75</v>
      </c>
      <c r="L138" s="8" t="s">
        <v>76</v>
      </c>
      <c r="M138" s="8" t="s">
        <v>34</v>
      </c>
      <c r="N138" s="8" t="s">
        <v>41</v>
      </c>
      <c r="O138" s="8" t="s">
        <v>14</v>
      </c>
      <c r="P138" s="8" t="s">
        <v>42</v>
      </c>
      <c r="Q138" s="8" t="s">
        <v>549</v>
      </c>
      <c r="R138" s="8" t="s">
        <v>33</v>
      </c>
      <c r="S138" s="8" t="s">
        <v>530</v>
      </c>
      <c r="T138" s="8" t="s">
        <v>80</v>
      </c>
      <c r="U138" s="8" t="s">
        <v>32</v>
      </c>
      <c r="V138" s="8" t="s">
        <v>32</v>
      </c>
      <c r="W138" s="8" t="s">
        <v>33</v>
      </c>
      <c r="X138" s="8" t="s">
        <v>33</v>
      </c>
      <c r="Y138" s="8" t="s">
        <v>33</v>
      </c>
      <c r="Z138" s="8" t="s">
        <v>33</v>
      </c>
      <c r="AA138" s="8" t="s">
        <v>33</v>
      </c>
      <c r="AB138" s="8" t="s">
        <v>32</v>
      </c>
      <c r="AC138" s="8" t="s">
        <v>33</v>
      </c>
      <c r="AD138" s="8" t="s">
        <v>32</v>
      </c>
      <c r="AE138" s="8" t="s">
        <v>32</v>
      </c>
      <c r="AF138" s="4">
        <f t="shared" si="4"/>
        <v>127</v>
      </c>
      <c r="AG138" s="4">
        <f t="shared" si="5"/>
        <v>36.75</v>
      </c>
      <c r="AH138" s="5" t="s">
        <v>185</v>
      </c>
      <c r="AI138" s="11" t="s">
        <v>213</v>
      </c>
      <c r="AJ138" s="11" t="s">
        <v>205</v>
      </c>
      <c r="AK138" s="11" t="s">
        <v>235</v>
      </c>
    </row>
    <row r="139" spans="1:37" x14ac:dyDescent="0.3">
      <c r="A139" s="8" t="s">
        <v>83</v>
      </c>
      <c r="B139" s="8" t="s">
        <v>84</v>
      </c>
      <c r="C139" s="7">
        <v>45308</v>
      </c>
      <c r="D139" s="8" t="s">
        <v>365</v>
      </c>
      <c r="E139" s="8" t="s">
        <v>549</v>
      </c>
      <c r="F139" s="8" t="s">
        <v>549</v>
      </c>
      <c r="G139" s="8" t="s">
        <v>550</v>
      </c>
      <c r="H139" s="9">
        <v>8245</v>
      </c>
      <c r="I139" s="9">
        <v>2385.71</v>
      </c>
      <c r="L139" s="8" t="s">
        <v>76</v>
      </c>
      <c r="M139" s="8" t="s">
        <v>34</v>
      </c>
      <c r="N139" s="8" t="s">
        <v>41</v>
      </c>
      <c r="O139" s="8" t="s">
        <v>14</v>
      </c>
      <c r="P139" s="8" t="s">
        <v>42</v>
      </c>
      <c r="Q139" s="8" t="s">
        <v>549</v>
      </c>
      <c r="R139" s="8" t="s">
        <v>33</v>
      </c>
      <c r="S139" s="8" t="s">
        <v>530</v>
      </c>
      <c r="T139" s="8" t="s">
        <v>80</v>
      </c>
      <c r="U139" s="8" t="s">
        <v>32</v>
      </c>
      <c r="V139" s="8" t="s">
        <v>32</v>
      </c>
      <c r="W139" s="8" t="s">
        <v>33</v>
      </c>
      <c r="X139" s="8" t="s">
        <v>33</v>
      </c>
      <c r="Y139" s="8" t="s">
        <v>33</v>
      </c>
      <c r="Z139" s="8" t="s">
        <v>33</v>
      </c>
      <c r="AA139" s="8" t="s">
        <v>33</v>
      </c>
      <c r="AB139" s="8" t="s">
        <v>32</v>
      </c>
      <c r="AC139" s="8" t="s">
        <v>33</v>
      </c>
      <c r="AD139" s="8" t="s">
        <v>32</v>
      </c>
      <c r="AE139" s="8" t="s">
        <v>32</v>
      </c>
      <c r="AF139" s="4">
        <f t="shared" si="4"/>
        <v>8245</v>
      </c>
      <c r="AG139" s="4">
        <f t="shared" si="5"/>
        <v>2385.71</v>
      </c>
      <c r="AH139" s="5" t="s">
        <v>185</v>
      </c>
      <c r="AI139" s="11" t="s">
        <v>213</v>
      </c>
      <c r="AJ139" s="11" t="s">
        <v>205</v>
      </c>
      <c r="AK139" s="11" t="s">
        <v>235</v>
      </c>
    </row>
    <row r="140" spans="1:37" x14ac:dyDescent="0.3">
      <c r="A140" s="8" t="s">
        <v>83</v>
      </c>
      <c r="B140" s="8" t="s">
        <v>84</v>
      </c>
      <c r="C140" s="7">
        <v>45308</v>
      </c>
      <c r="D140" s="8" t="s">
        <v>366</v>
      </c>
      <c r="E140" s="8" t="s">
        <v>549</v>
      </c>
      <c r="F140" s="8" t="s">
        <v>549</v>
      </c>
      <c r="G140" s="8" t="s">
        <v>550</v>
      </c>
      <c r="H140" s="9">
        <v>2268</v>
      </c>
      <c r="I140" s="9">
        <v>656.25</v>
      </c>
      <c r="L140" s="8" t="s">
        <v>105</v>
      </c>
      <c r="M140" s="8" t="s">
        <v>34</v>
      </c>
      <c r="N140" s="8" t="s">
        <v>41</v>
      </c>
      <c r="O140" s="8" t="s">
        <v>14</v>
      </c>
      <c r="P140" s="8" t="s">
        <v>42</v>
      </c>
      <c r="Q140" s="8" t="s">
        <v>549</v>
      </c>
      <c r="R140" s="8" t="s">
        <v>33</v>
      </c>
      <c r="S140" s="8" t="s">
        <v>530</v>
      </c>
      <c r="T140" s="8" t="s">
        <v>80</v>
      </c>
      <c r="U140" s="8" t="s">
        <v>32</v>
      </c>
      <c r="V140" s="8" t="s">
        <v>32</v>
      </c>
      <c r="W140" s="8" t="s">
        <v>33</v>
      </c>
      <c r="X140" s="8" t="s">
        <v>33</v>
      </c>
      <c r="Y140" s="8" t="s">
        <v>33</v>
      </c>
      <c r="Z140" s="8" t="s">
        <v>33</v>
      </c>
      <c r="AA140" s="8" t="s">
        <v>33</v>
      </c>
      <c r="AB140" s="8" t="s">
        <v>32</v>
      </c>
      <c r="AC140" s="8" t="s">
        <v>33</v>
      </c>
      <c r="AD140" s="8" t="s">
        <v>32</v>
      </c>
      <c r="AE140" s="8" t="s">
        <v>32</v>
      </c>
      <c r="AF140" s="4">
        <f t="shared" si="4"/>
        <v>2268</v>
      </c>
      <c r="AG140" s="4">
        <f t="shared" si="5"/>
        <v>656.25</v>
      </c>
      <c r="AH140" s="5" t="s">
        <v>185</v>
      </c>
      <c r="AI140" s="11" t="s">
        <v>213</v>
      </c>
      <c r="AJ140" s="11" t="s">
        <v>209</v>
      </c>
      <c r="AK140" s="11" t="s">
        <v>235</v>
      </c>
    </row>
    <row r="141" spans="1:37" x14ac:dyDescent="0.3">
      <c r="A141" s="8" t="s">
        <v>150</v>
      </c>
      <c r="B141" s="8" t="s">
        <v>151</v>
      </c>
      <c r="C141" s="7">
        <v>45308</v>
      </c>
      <c r="D141" s="8" t="s">
        <v>367</v>
      </c>
      <c r="E141" s="8" t="s">
        <v>549</v>
      </c>
      <c r="F141" s="8" t="s">
        <v>549</v>
      </c>
      <c r="G141" s="8" t="s">
        <v>550</v>
      </c>
      <c r="H141" s="9">
        <v>935</v>
      </c>
      <c r="I141" s="9">
        <v>270.54000000000002</v>
      </c>
      <c r="L141" s="8" t="s">
        <v>119</v>
      </c>
      <c r="M141" s="8" t="s">
        <v>34</v>
      </c>
      <c r="N141" s="8" t="s">
        <v>29</v>
      </c>
      <c r="O141" s="8" t="s">
        <v>14</v>
      </c>
      <c r="P141" s="8" t="s">
        <v>30</v>
      </c>
      <c r="Q141" s="8" t="s">
        <v>549</v>
      </c>
      <c r="R141" s="8" t="s">
        <v>33</v>
      </c>
      <c r="S141" s="8" t="s">
        <v>530</v>
      </c>
      <c r="T141" s="8" t="s">
        <v>31</v>
      </c>
      <c r="U141" s="8" t="s">
        <v>32</v>
      </c>
      <c r="V141" s="8" t="s">
        <v>32</v>
      </c>
      <c r="W141" s="8" t="s">
        <v>33</v>
      </c>
      <c r="X141" s="8" t="s">
        <v>33</v>
      </c>
      <c r="Y141" s="8" t="s">
        <v>33</v>
      </c>
      <c r="Z141" s="8" t="s">
        <v>33</v>
      </c>
      <c r="AA141" s="8" t="s">
        <v>33</v>
      </c>
      <c r="AB141" s="8" t="s">
        <v>32</v>
      </c>
      <c r="AC141" s="8" t="s">
        <v>33</v>
      </c>
      <c r="AD141" s="8" t="s">
        <v>32</v>
      </c>
      <c r="AE141" s="8" t="s">
        <v>32</v>
      </c>
      <c r="AF141" s="4">
        <f t="shared" si="4"/>
        <v>935</v>
      </c>
      <c r="AG141" s="4">
        <f t="shared" si="5"/>
        <v>270.54000000000002</v>
      </c>
      <c r="AH141" s="5" t="s">
        <v>184</v>
      </c>
      <c r="AI141" s="11" t="s">
        <v>551</v>
      </c>
      <c r="AJ141" s="11" t="s">
        <v>541</v>
      </c>
      <c r="AK141" s="11" t="s">
        <v>237</v>
      </c>
    </row>
    <row r="142" spans="1:37" x14ac:dyDescent="0.3">
      <c r="A142" s="8" t="s">
        <v>150</v>
      </c>
      <c r="B142" s="8" t="s">
        <v>151</v>
      </c>
      <c r="C142" s="7">
        <v>45308</v>
      </c>
      <c r="D142" s="8" t="s">
        <v>367</v>
      </c>
      <c r="E142" s="8" t="s">
        <v>549</v>
      </c>
      <c r="F142" s="8" t="s">
        <v>549</v>
      </c>
      <c r="G142" s="8" t="s">
        <v>550</v>
      </c>
      <c r="H142" s="9">
        <v>7205</v>
      </c>
      <c r="I142" s="9">
        <v>2084.7800000000002</v>
      </c>
      <c r="L142" s="8" t="s">
        <v>119</v>
      </c>
      <c r="M142" s="8" t="s">
        <v>38</v>
      </c>
      <c r="N142" s="8" t="s">
        <v>29</v>
      </c>
      <c r="O142" s="8" t="s">
        <v>14</v>
      </c>
      <c r="P142" s="8" t="s">
        <v>30</v>
      </c>
      <c r="Q142" s="8" t="s">
        <v>549</v>
      </c>
      <c r="R142" s="8" t="s">
        <v>33</v>
      </c>
      <c r="S142" s="8" t="s">
        <v>530</v>
      </c>
      <c r="T142" s="8" t="s">
        <v>31</v>
      </c>
      <c r="U142" s="8" t="s">
        <v>32</v>
      </c>
      <c r="V142" s="8" t="s">
        <v>32</v>
      </c>
      <c r="W142" s="8" t="s">
        <v>33</v>
      </c>
      <c r="X142" s="8" t="s">
        <v>33</v>
      </c>
      <c r="Y142" s="8" t="s">
        <v>33</v>
      </c>
      <c r="Z142" s="8" t="s">
        <v>33</v>
      </c>
      <c r="AA142" s="8" t="s">
        <v>33</v>
      </c>
      <c r="AB142" s="8" t="s">
        <v>32</v>
      </c>
      <c r="AC142" s="8" t="s">
        <v>33</v>
      </c>
      <c r="AD142" s="8" t="s">
        <v>32</v>
      </c>
      <c r="AE142" s="8" t="s">
        <v>32</v>
      </c>
      <c r="AF142" s="4">
        <f t="shared" si="4"/>
        <v>7205</v>
      </c>
      <c r="AG142" s="4">
        <f t="shared" si="5"/>
        <v>2084.7800000000002</v>
      </c>
      <c r="AH142" s="5" t="s">
        <v>184</v>
      </c>
      <c r="AI142" s="11" t="s">
        <v>551</v>
      </c>
      <c r="AJ142" s="11" t="s">
        <v>541</v>
      </c>
      <c r="AK142" s="11" t="s">
        <v>237</v>
      </c>
    </row>
    <row r="143" spans="1:37" x14ac:dyDescent="0.3">
      <c r="A143" s="8" t="s">
        <v>150</v>
      </c>
      <c r="B143" s="8" t="s">
        <v>151</v>
      </c>
      <c r="C143" s="7">
        <v>45308</v>
      </c>
      <c r="D143" s="8" t="s">
        <v>368</v>
      </c>
      <c r="E143" s="8" t="s">
        <v>549</v>
      </c>
      <c r="F143" s="8" t="s">
        <v>549</v>
      </c>
      <c r="G143" s="8" t="s">
        <v>550</v>
      </c>
      <c r="H143" s="9">
        <v>6605</v>
      </c>
      <c r="I143" s="9">
        <v>1911.17</v>
      </c>
      <c r="L143" s="8" t="s">
        <v>119</v>
      </c>
      <c r="M143" s="8" t="s">
        <v>34</v>
      </c>
      <c r="N143" s="8" t="s">
        <v>29</v>
      </c>
      <c r="O143" s="8" t="s">
        <v>14</v>
      </c>
      <c r="P143" s="8" t="s">
        <v>30</v>
      </c>
      <c r="Q143" s="8" t="s">
        <v>549</v>
      </c>
      <c r="R143" s="8" t="s">
        <v>33</v>
      </c>
      <c r="S143" s="8" t="s">
        <v>530</v>
      </c>
      <c r="T143" s="8" t="s">
        <v>31</v>
      </c>
      <c r="U143" s="8" t="s">
        <v>32</v>
      </c>
      <c r="V143" s="8" t="s">
        <v>32</v>
      </c>
      <c r="W143" s="8" t="s">
        <v>33</v>
      </c>
      <c r="X143" s="8" t="s">
        <v>33</v>
      </c>
      <c r="Y143" s="8" t="s">
        <v>33</v>
      </c>
      <c r="Z143" s="8" t="s">
        <v>33</v>
      </c>
      <c r="AA143" s="8" t="s">
        <v>33</v>
      </c>
      <c r="AB143" s="8" t="s">
        <v>32</v>
      </c>
      <c r="AC143" s="8" t="s">
        <v>33</v>
      </c>
      <c r="AD143" s="8" t="s">
        <v>32</v>
      </c>
      <c r="AE143" s="8" t="s">
        <v>32</v>
      </c>
      <c r="AF143" s="4">
        <f t="shared" si="4"/>
        <v>6605</v>
      </c>
      <c r="AG143" s="4">
        <f t="shared" si="5"/>
        <v>1911.17</v>
      </c>
      <c r="AH143" s="5" t="s">
        <v>184</v>
      </c>
      <c r="AI143" s="11" t="s">
        <v>551</v>
      </c>
      <c r="AJ143" s="11" t="s">
        <v>541</v>
      </c>
      <c r="AK143" s="11" t="s">
        <v>237</v>
      </c>
    </row>
    <row r="144" spans="1:37" x14ac:dyDescent="0.3">
      <c r="A144" s="8" t="s">
        <v>150</v>
      </c>
      <c r="B144" s="8" t="s">
        <v>151</v>
      </c>
      <c r="C144" s="7">
        <v>45308</v>
      </c>
      <c r="D144" s="8" t="s">
        <v>368</v>
      </c>
      <c r="E144" s="8" t="s">
        <v>549</v>
      </c>
      <c r="F144" s="8" t="s">
        <v>549</v>
      </c>
      <c r="G144" s="8" t="s">
        <v>550</v>
      </c>
      <c r="H144" s="9">
        <v>3485</v>
      </c>
      <c r="I144" s="9">
        <v>1008.39</v>
      </c>
      <c r="L144" s="8" t="s">
        <v>119</v>
      </c>
      <c r="M144" s="8" t="s">
        <v>38</v>
      </c>
      <c r="N144" s="8" t="s">
        <v>29</v>
      </c>
      <c r="O144" s="8" t="s">
        <v>14</v>
      </c>
      <c r="P144" s="8" t="s">
        <v>30</v>
      </c>
      <c r="Q144" s="8" t="s">
        <v>549</v>
      </c>
      <c r="R144" s="8" t="s">
        <v>33</v>
      </c>
      <c r="S144" s="8" t="s">
        <v>530</v>
      </c>
      <c r="T144" s="8" t="s">
        <v>31</v>
      </c>
      <c r="U144" s="8" t="s">
        <v>32</v>
      </c>
      <c r="V144" s="8" t="s">
        <v>32</v>
      </c>
      <c r="W144" s="8" t="s">
        <v>33</v>
      </c>
      <c r="X144" s="8" t="s">
        <v>33</v>
      </c>
      <c r="Y144" s="8" t="s">
        <v>33</v>
      </c>
      <c r="Z144" s="8" t="s">
        <v>33</v>
      </c>
      <c r="AA144" s="8" t="s">
        <v>33</v>
      </c>
      <c r="AB144" s="8" t="s">
        <v>32</v>
      </c>
      <c r="AC144" s="8" t="s">
        <v>33</v>
      </c>
      <c r="AD144" s="8" t="s">
        <v>32</v>
      </c>
      <c r="AE144" s="8" t="s">
        <v>32</v>
      </c>
      <c r="AF144" s="4">
        <f t="shared" si="4"/>
        <v>3485</v>
      </c>
      <c r="AG144" s="4">
        <f t="shared" si="5"/>
        <v>1008.39</v>
      </c>
      <c r="AH144" s="5" t="s">
        <v>184</v>
      </c>
      <c r="AI144" s="11" t="s">
        <v>551</v>
      </c>
      <c r="AJ144" s="11" t="s">
        <v>541</v>
      </c>
      <c r="AK144" s="11" t="s">
        <v>237</v>
      </c>
    </row>
    <row r="145" spans="1:37" x14ac:dyDescent="0.3">
      <c r="A145" s="8" t="s">
        <v>83</v>
      </c>
      <c r="B145" s="8" t="s">
        <v>84</v>
      </c>
      <c r="C145" s="7">
        <v>45309</v>
      </c>
      <c r="D145" s="8" t="s">
        <v>369</v>
      </c>
      <c r="E145" s="8" t="s">
        <v>549</v>
      </c>
      <c r="F145" s="8" t="s">
        <v>549</v>
      </c>
      <c r="G145" s="8" t="s">
        <v>550</v>
      </c>
      <c r="H145" s="9">
        <v>4329</v>
      </c>
      <c r="I145" s="9">
        <v>1252.5999999999999</v>
      </c>
      <c r="L145" s="8" t="s">
        <v>76</v>
      </c>
      <c r="M145" s="8" t="s">
        <v>34</v>
      </c>
      <c r="N145" s="8" t="s">
        <v>41</v>
      </c>
      <c r="O145" s="8" t="s">
        <v>14</v>
      </c>
      <c r="P145" s="8" t="s">
        <v>42</v>
      </c>
      <c r="Q145" s="8" t="s">
        <v>549</v>
      </c>
      <c r="R145" s="8" t="s">
        <v>33</v>
      </c>
      <c r="S145" s="8" t="s">
        <v>530</v>
      </c>
      <c r="T145" s="8" t="s">
        <v>80</v>
      </c>
      <c r="U145" s="8" t="s">
        <v>32</v>
      </c>
      <c r="V145" s="8" t="s">
        <v>32</v>
      </c>
      <c r="W145" s="8" t="s">
        <v>33</v>
      </c>
      <c r="X145" s="8" t="s">
        <v>33</v>
      </c>
      <c r="Y145" s="8" t="s">
        <v>33</v>
      </c>
      <c r="Z145" s="8" t="s">
        <v>33</v>
      </c>
      <c r="AA145" s="8" t="s">
        <v>33</v>
      </c>
      <c r="AB145" s="8" t="s">
        <v>32</v>
      </c>
      <c r="AC145" s="8" t="s">
        <v>33</v>
      </c>
      <c r="AD145" s="8" t="s">
        <v>32</v>
      </c>
      <c r="AE145" s="8" t="s">
        <v>32</v>
      </c>
      <c r="AF145" s="4">
        <f t="shared" si="4"/>
        <v>4329</v>
      </c>
      <c r="AG145" s="4">
        <f t="shared" si="5"/>
        <v>1252.5999999999999</v>
      </c>
      <c r="AH145" s="5" t="s">
        <v>185</v>
      </c>
      <c r="AI145" s="11" t="s">
        <v>213</v>
      </c>
      <c r="AJ145" s="11" t="s">
        <v>205</v>
      </c>
      <c r="AK145" s="11" t="s">
        <v>235</v>
      </c>
    </row>
    <row r="146" spans="1:37" x14ac:dyDescent="0.3">
      <c r="A146" s="8" t="s">
        <v>83</v>
      </c>
      <c r="B146" s="8" t="s">
        <v>84</v>
      </c>
      <c r="C146" s="7">
        <v>45309</v>
      </c>
      <c r="D146" s="8" t="s">
        <v>370</v>
      </c>
      <c r="E146" s="8" t="s">
        <v>549</v>
      </c>
      <c r="F146" s="8" t="s">
        <v>549</v>
      </c>
      <c r="G146" s="8" t="s">
        <v>550</v>
      </c>
      <c r="H146" s="9">
        <v>6081</v>
      </c>
      <c r="I146" s="9">
        <v>1759.55</v>
      </c>
      <c r="L146" s="8" t="s">
        <v>105</v>
      </c>
      <c r="M146" s="8" t="s">
        <v>34</v>
      </c>
      <c r="N146" s="8" t="s">
        <v>41</v>
      </c>
      <c r="O146" s="8" t="s">
        <v>14</v>
      </c>
      <c r="P146" s="8" t="s">
        <v>42</v>
      </c>
      <c r="Q146" s="8" t="s">
        <v>549</v>
      </c>
      <c r="R146" s="8" t="s">
        <v>33</v>
      </c>
      <c r="S146" s="8" t="s">
        <v>530</v>
      </c>
      <c r="T146" s="8" t="s">
        <v>80</v>
      </c>
      <c r="U146" s="8" t="s">
        <v>32</v>
      </c>
      <c r="V146" s="8" t="s">
        <v>32</v>
      </c>
      <c r="W146" s="8" t="s">
        <v>33</v>
      </c>
      <c r="X146" s="8" t="s">
        <v>33</v>
      </c>
      <c r="Y146" s="8" t="s">
        <v>33</v>
      </c>
      <c r="Z146" s="8" t="s">
        <v>33</v>
      </c>
      <c r="AA146" s="8" t="s">
        <v>33</v>
      </c>
      <c r="AB146" s="8" t="s">
        <v>32</v>
      </c>
      <c r="AC146" s="8" t="s">
        <v>33</v>
      </c>
      <c r="AD146" s="8" t="s">
        <v>32</v>
      </c>
      <c r="AE146" s="8" t="s">
        <v>32</v>
      </c>
      <c r="AF146" s="4">
        <f t="shared" si="4"/>
        <v>6081</v>
      </c>
      <c r="AG146" s="4">
        <f t="shared" si="5"/>
        <v>1759.55</v>
      </c>
      <c r="AH146" s="5" t="s">
        <v>185</v>
      </c>
      <c r="AI146" s="11" t="s">
        <v>213</v>
      </c>
      <c r="AJ146" s="11" t="s">
        <v>209</v>
      </c>
      <c r="AK146" s="11" t="s">
        <v>235</v>
      </c>
    </row>
    <row r="147" spans="1:37" x14ac:dyDescent="0.3">
      <c r="A147" s="8" t="s">
        <v>123</v>
      </c>
      <c r="B147" s="8" t="s">
        <v>124</v>
      </c>
      <c r="C147" s="7">
        <v>45309</v>
      </c>
      <c r="D147" s="8" t="s">
        <v>371</v>
      </c>
      <c r="E147" s="8" t="s">
        <v>549</v>
      </c>
      <c r="F147" s="8" t="s">
        <v>549</v>
      </c>
      <c r="G147" s="8" t="s">
        <v>550</v>
      </c>
      <c r="H147" s="9">
        <v>2414</v>
      </c>
      <c r="I147" s="9">
        <v>698.5</v>
      </c>
      <c r="L147" s="8" t="s">
        <v>120</v>
      </c>
      <c r="M147" s="8" t="s">
        <v>34</v>
      </c>
      <c r="N147" s="8" t="s">
        <v>29</v>
      </c>
      <c r="O147" s="8" t="s">
        <v>14</v>
      </c>
      <c r="P147" s="8" t="s">
        <v>30</v>
      </c>
      <c r="Q147" s="8" t="s">
        <v>549</v>
      </c>
      <c r="R147" s="8" t="s">
        <v>33</v>
      </c>
      <c r="S147" s="8" t="s">
        <v>530</v>
      </c>
      <c r="T147" s="8" t="s">
        <v>31</v>
      </c>
      <c r="U147" s="8" t="s">
        <v>32</v>
      </c>
      <c r="V147" s="8" t="s">
        <v>32</v>
      </c>
      <c r="W147" s="8" t="s">
        <v>33</v>
      </c>
      <c r="X147" s="8" t="s">
        <v>33</v>
      </c>
      <c r="Y147" s="8" t="s">
        <v>33</v>
      </c>
      <c r="Z147" s="8" t="s">
        <v>33</v>
      </c>
      <c r="AA147" s="8" t="s">
        <v>33</v>
      </c>
      <c r="AB147" s="8" t="s">
        <v>32</v>
      </c>
      <c r="AC147" s="8" t="s">
        <v>33</v>
      </c>
      <c r="AD147" s="8" t="s">
        <v>32</v>
      </c>
      <c r="AE147" s="8" t="s">
        <v>32</v>
      </c>
      <c r="AF147" s="4">
        <f t="shared" si="4"/>
        <v>2414</v>
      </c>
      <c r="AG147" s="4">
        <f t="shared" si="5"/>
        <v>698.5</v>
      </c>
      <c r="AH147" s="5" t="s">
        <v>184</v>
      </c>
      <c r="AI147" s="11" t="s">
        <v>226</v>
      </c>
      <c r="AJ147" s="11" t="s">
        <v>546</v>
      </c>
      <c r="AK147" s="11" t="s">
        <v>237</v>
      </c>
    </row>
    <row r="148" spans="1:37" x14ac:dyDescent="0.3">
      <c r="A148" s="8" t="s">
        <v>123</v>
      </c>
      <c r="B148" s="8" t="s">
        <v>124</v>
      </c>
      <c r="C148" s="7">
        <v>45309</v>
      </c>
      <c r="D148" s="8" t="s">
        <v>372</v>
      </c>
      <c r="E148" s="8" t="s">
        <v>549</v>
      </c>
      <c r="F148" s="8" t="s">
        <v>549</v>
      </c>
      <c r="G148" s="8" t="s">
        <v>550</v>
      </c>
      <c r="H148" s="9">
        <v>338</v>
      </c>
      <c r="I148" s="9">
        <v>97.8</v>
      </c>
      <c r="L148" s="8" t="s">
        <v>77</v>
      </c>
      <c r="M148" s="8" t="s">
        <v>34</v>
      </c>
      <c r="N148" s="8" t="s">
        <v>29</v>
      </c>
      <c r="O148" s="8" t="s">
        <v>14</v>
      </c>
      <c r="P148" s="8" t="s">
        <v>30</v>
      </c>
      <c r="Q148" s="8" t="s">
        <v>549</v>
      </c>
      <c r="R148" s="8" t="s">
        <v>33</v>
      </c>
      <c r="S148" s="8" t="s">
        <v>530</v>
      </c>
      <c r="T148" s="8" t="s">
        <v>31</v>
      </c>
      <c r="U148" s="8" t="s">
        <v>32</v>
      </c>
      <c r="V148" s="8" t="s">
        <v>32</v>
      </c>
      <c r="W148" s="8" t="s">
        <v>33</v>
      </c>
      <c r="X148" s="8" t="s">
        <v>33</v>
      </c>
      <c r="Y148" s="8" t="s">
        <v>33</v>
      </c>
      <c r="Z148" s="8" t="s">
        <v>33</v>
      </c>
      <c r="AA148" s="8" t="s">
        <v>33</v>
      </c>
      <c r="AB148" s="8" t="s">
        <v>32</v>
      </c>
      <c r="AC148" s="8" t="s">
        <v>33</v>
      </c>
      <c r="AD148" s="8" t="s">
        <v>32</v>
      </c>
      <c r="AE148" s="8" t="s">
        <v>32</v>
      </c>
      <c r="AF148" s="4">
        <f t="shared" si="4"/>
        <v>338</v>
      </c>
      <c r="AG148" s="4">
        <f t="shared" si="5"/>
        <v>97.8</v>
      </c>
      <c r="AH148" s="5" t="s">
        <v>185</v>
      </c>
      <c r="AI148" s="11" t="s">
        <v>226</v>
      </c>
      <c r="AJ148" s="11" t="s">
        <v>211</v>
      </c>
      <c r="AK148" s="11" t="s">
        <v>235</v>
      </c>
    </row>
    <row r="149" spans="1:37" x14ac:dyDescent="0.3">
      <c r="A149" s="8" t="s">
        <v>239</v>
      </c>
      <c r="B149" s="8" t="s">
        <v>240</v>
      </c>
      <c r="C149" s="7">
        <v>45309</v>
      </c>
      <c r="D149" s="8" t="s">
        <v>373</v>
      </c>
      <c r="E149" s="8" t="s">
        <v>549</v>
      </c>
      <c r="F149" s="8" t="s">
        <v>549</v>
      </c>
      <c r="G149" s="8" t="s">
        <v>550</v>
      </c>
      <c r="H149" s="9">
        <v>6985</v>
      </c>
      <c r="I149" s="9">
        <v>2021.12</v>
      </c>
      <c r="L149" s="8" t="s">
        <v>120</v>
      </c>
      <c r="M149" s="8" t="s">
        <v>34</v>
      </c>
      <c r="N149" s="8" t="s">
        <v>29</v>
      </c>
      <c r="O149" s="8" t="s">
        <v>14</v>
      </c>
      <c r="P149" s="8" t="s">
        <v>30</v>
      </c>
      <c r="Q149" s="8" t="s">
        <v>549</v>
      </c>
      <c r="R149" s="8" t="s">
        <v>33</v>
      </c>
      <c r="S149" s="8" t="s">
        <v>530</v>
      </c>
      <c r="T149" s="8" t="s">
        <v>31</v>
      </c>
      <c r="U149" s="8" t="s">
        <v>32</v>
      </c>
      <c r="V149" s="8" t="s">
        <v>32</v>
      </c>
      <c r="W149" s="8" t="s">
        <v>33</v>
      </c>
      <c r="X149" s="8" t="s">
        <v>33</v>
      </c>
      <c r="Y149" s="8" t="s">
        <v>33</v>
      </c>
      <c r="Z149" s="8" t="s">
        <v>33</v>
      </c>
      <c r="AA149" s="8" t="s">
        <v>33</v>
      </c>
      <c r="AB149" s="8" t="s">
        <v>32</v>
      </c>
      <c r="AC149" s="8" t="s">
        <v>33</v>
      </c>
      <c r="AD149" s="8" t="s">
        <v>32</v>
      </c>
      <c r="AE149" s="8" t="s">
        <v>32</v>
      </c>
      <c r="AF149" s="4">
        <f t="shared" si="4"/>
        <v>6985</v>
      </c>
      <c r="AG149" s="4">
        <f t="shared" si="5"/>
        <v>2021.12</v>
      </c>
      <c r="AH149" s="5" t="s">
        <v>184</v>
      </c>
      <c r="AI149" s="11" t="s">
        <v>551</v>
      </c>
      <c r="AJ149" s="11" t="s">
        <v>546</v>
      </c>
      <c r="AK149" s="11" t="s">
        <v>237</v>
      </c>
    </row>
    <row r="150" spans="1:37" x14ac:dyDescent="0.3">
      <c r="A150" s="8" t="s">
        <v>239</v>
      </c>
      <c r="B150" s="8" t="s">
        <v>240</v>
      </c>
      <c r="C150" s="7">
        <v>45309</v>
      </c>
      <c r="D150" s="8" t="s">
        <v>374</v>
      </c>
      <c r="E150" s="8" t="s">
        <v>549</v>
      </c>
      <c r="F150" s="8" t="s">
        <v>549</v>
      </c>
      <c r="G150" s="8" t="s">
        <v>550</v>
      </c>
      <c r="H150" s="9">
        <v>2240</v>
      </c>
      <c r="I150" s="9">
        <v>648.15</v>
      </c>
      <c r="L150" s="8" t="s">
        <v>120</v>
      </c>
      <c r="M150" s="8" t="s">
        <v>34</v>
      </c>
      <c r="N150" s="8" t="s">
        <v>29</v>
      </c>
      <c r="O150" s="8" t="s">
        <v>14</v>
      </c>
      <c r="P150" s="8" t="s">
        <v>30</v>
      </c>
      <c r="Q150" s="8" t="s">
        <v>549</v>
      </c>
      <c r="R150" s="8" t="s">
        <v>33</v>
      </c>
      <c r="S150" s="8" t="s">
        <v>530</v>
      </c>
      <c r="T150" s="8" t="s">
        <v>31</v>
      </c>
      <c r="U150" s="8" t="s">
        <v>32</v>
      </c>
      <c r="V150" s="8" t="s">
        <v>32</v>
      </c>
      <c r="W150" s="8" t="s">
        <v>33</v>
      </c>
      <c r="X150" s="8" t="s">
        <v>33</v>
      </c>
      <c r="Y150" s="8" t="s">
        <v>33</v>
      </c>
      <c r="Z150" s="8" t="s">
        <v>33</v>
      </c>
      <c r="AA150" s="8" t="s">
        <v>33</v>
      </c>
      <c r="AB150" s="8" t="s">
        <v>32</v>
      </c>
      <c r="AC150" s="8" t="s">
        <v>33</v>
      </c>
      <c r="AD150" s="8" t="s">
        <v>32</v>
      </c>
      <c r="AE150" s="8" t="s">
        <v>32</v>
      </c>
      <c r="AF150" s="4">
        <f t="shared" si="4"/>
        <v>2240</v>
      </c>
      <c r="AG150" s="4">
        <f t="shared" si="5"/>
        <v>648.15</v>
      </c>
      <c r="AH150" s="5" t="s">
        <v>184</v>
      </c>
      <c r="AI150" s="11" t="s">
        <v>551</v>
      </c>
      <c r="AJ150" s="11" t="s">
        <v>546</v>
      </c>
      <c r="AK150" s="11" t="s">
        <v>237</v>
      </c>
    </row>
    <row r="151" spans="1:37" x14ac:dyDescent="0.3">
      <c r="A151" s="8" t="s">
        <v>158</v>
      </c>
      <c r="B151" s="8" t="s">
        <v>159</v>
      </c>
      <c r="C151" s="7">
        <v>45309</v>
      </c>
      <c r="D151" s="8" t="s">
        <v>375</v>
      </c>
      <c r="E151" s="8" t="s">
        <v>549</v>
      </c>
      <c r="F151" s="8" t="s">
        <v>549</v>
      </c>
      <c r="G151" s="8" t="s">
        <v>550</v>
      </c>
      <c r="H151" s="9">
        <v>6799</v>
      </c>
      <c r="I151" s="9">
        <v>1967.3</v>
      </c>
      <c r="L151" s="8" t="s">
        <v>93</v>
      </c>
      <c r="M151" s="8" t="s">
        <v>34</v>
      </c>
      <c r="N151" s="8" t="s">
        <v>29</v>
      </c>
      <c r="O151" s="8" t="s">
        <v>14</v>
      </c>
      <c r="P151" s="8" t="s">
        <v>30</v>
      </c>
      <c r="Q151" s="8" t="s">
        <v>549</v>
      </c>
      <c r="R151" s="8" t="s">
        <v>33</v>
      </c>
      <c r="S151" s="8" t="s">
        <v>530</v>
      </c>
      <c r="T151" s="8" t="s">
        <v>31</v>
      </c>
      <c r="U151" s="8" t="s">
        <v>32</v>
      </c>
      <c r="V151" s="8" t="s">
        <v>32</v>
      </c>
      <c r="W151" s="8" t="s">
        <v>33</v>
      </c>
      <c r="X151" s="8" t="s">
        <v>33</v>
      </c>
      <c r="Y151" s="8" t="s">
        <v>33</v>
      </c>
      <c r="Z151" s="8" t="s">
        <v>33</v>
      </c>
      <c r="AA151" s="8" t="s">
        <v>33</v>
      </c>
      <c r="AB151" s="8" t="s">
        <v>32</v>
      </c>
      <c r="AC151" s="8" t="s">
        <v>33</v>
      </c>
      <c r="AD151" s="8" t="s">
        <v>32</v>
      </c>
      <c r="AE151" s="8" t="s">
        <v>32</v>
      </c>
      <c r="AF151" s="4">
        <f t="shared" si="4"/>
        <v>6799</v>
      </c>
      <c r="AG151" s="4">
        <f t="shared" si="5"/>
        <v>1967.3</v>
      </c>
      <c r="AH151" s="5" t="s">
        <v>185</v>
      </c>
      <c r="AI151" s="11" t="s">
        <v>224</v>
      </c>
      <c r="AJ151" s="11" t="s">
        <v>206</v>
      </c>
      <c r="AK151" s="11" t="s">
        <v>235</v>
      </c>
    </row>
    <row r="152" spans="1:37" x14ac:dyDescent="0.3">
      <c r="A152" s="8" t="s">
        <v>83</v>
      </c>
      <c r="B152" s="8" t="s">
        <v>84</v>
      </c>
      <c r="C152" s="7">
        <v>45310</v>
      </c>
      <c r="D152" s="8" t="s">
        <v>376</v>
      </c>
      <c r="E152" s="8" t="s">
        <v>549</v>
      </c>
      <c r="F152" s="8" t="s">
        <v>549</v>
      </c>
      <c r="G152" s="8" t="s">
        <v>550</v>
      </c>
      <c r="H152" s="9">
        <v>7113</v>
      </c>
      <c r="I152" s="9">
        <v>2058.16</v>
      </c>
      <c r="L152" s="8" t="s">
        <v>105</v>
      </c>
      <c r="M152" s="8" t="s">
        <v>34</v>
      </c>
      <c r="N152" s="8" t="s">
        <v>41</v>
      </c>
      <c r="O152" s="8" t="s">
        <v>14</v>
      </c>
      <c r="P152" s="8" t="s">
        <v>42</v>
      </c>
      <c r="Q152" s="8" t="s">
        <v>549</v>
      </c>
      <c r="R152" s="8" t="s">
        <v>33</v>
      </c>
      <c r="S152" s="8" t="s">
        <v>530</v>
      </c>
      <c r="T152" s="8" t="s">
        <v>80</v>
      </c>
      <c r="U152" s="8" t="s">
        <v>32</v>
      </c>
      <c r="V152" s="8" t="s">
        <v>32</v>
      </c>
      <c r="W152" s="8" t="s">
        <v>33</v>
      </c>
      <c r="X152" s="8" t="s">
        <v>33</v>
      </c>
      <c r="Y152" s="8" t="s">
        <v>33</v>
      </c>
      <c r="Z152" s="8" t="s">
        <v>33</v>
      </c>
      <c r="AA152" s="8" t="s">
        <v>33</v>
      </c>
      <c r="AB152" s="8" t="s">
        <v>32</v>
      </c>
      <c r="AC152" s="8" t="s">
        <v>33</v>
      </c>
      <c r="AD152" s="8" t="s">
        <v>32</v>
      </c>
      <c r="AE152" s="8" t="s">
        <v>32</v>
      </c>
      <c r="AF152" s="4">
        <f t="shared" si="4"/>
        <v>7113</v>
      </c>
      <c r="AG152" s="4">
        <f t="shared" si="5"/>
        <v>2058.16</v>
      </c>
      <c r="AH152" s="5" t="s">
        <v>185</v>
      </c>
      <c r="AI152" s="11" t="s">
        <v>213</v>
      </c>
      <c r="AJ152" s="11" t="s">
        <v>209</v>
      </c>
      <c r="AK152" s="11" t="s">
        <v>235</v>
      </c>
    </row>
    <row r="153" spans="1:37" x14ac:dyDescent="0.3">
      <c r="A153" s="8" t="s">
        <v>83</v>
      </c>
      <c r="B153" s="8" t="s">
        <v>84</v>
      </c>
      <c r="C153" s="7">
        <v>45310</v>
      </c>
      <c r="D153" s="8" t="s">
        <v>377</v>
      </c>
      <c r="E153" s="8" t="s">
        <v>549</v>
      </c>
      <c r="F153" s="8" t="s">
        <v>549</v>
      </c>
      <c r="G153" s="8" t="s">
        <v>550</v>
      </c>
      <c r="H153" s="9">
        <v>4895</v>
      </c>
      <c r="I153" s="9">
        <v>1416.38</v>
      </c>
      <c r="L153" s="8" t="s">
        <v>105</v>
      </c>
      <c r="M153" s="8" t="s">
        <v>34</v>
      </c>
      <c r="N153" s="8" t="s">
        <v>41</v>
      </c>
      <c r="O153" s="8" t="s">
        <v>14</v>
      </c>
      <c r="P153" s="8" t="s">
        <v>42</v>
      </c>
      <c r="Q153" s="8" t="s">
        <v>549</v>
      </c>
      <c r="R153" s="8" t="s">
        <v>33</v>
      </c>
      <c r="S153" s="8" t="s">
        <v>530</v>
      </c>
      <c r="T153" s="8" t="s">
        <v>80</v>
      </c>
      <c r="U153" s="8" t="s">
        <v>32</v>
      </c>
      <c r="V153" s="8" t="s">
        <v>32</v>
      </c>
      <c r="W153" s="8" t="s">
        <v>33</v>
      </c>
      <c r="X153" s="8" t="s">
        <v>33</v>
      </c>
      <c r="Y153" s="8" t="s">
        <v>33</v>
      </c>
      <c r="Z153" s="8" t="s">
        <v>33</v>
      </c>
      <c r="AA153" s="8" t="s">
        <v>33</v>
      </c>
      <c r="AB153" s="8" t="s">
        <v>32</v>
      </c>
      <c r="AC153" s="8" t="s">
        <v>33</v>
      </c>
      <c r="AD153" s="8" t="s">
        <v>32</v>
      </c>
      <c r="AE153" s="8" t="s">
        <v>32</v>
      </c>
      <c r="AF153" s="4">
        <f t="shared" si="4"/>
        <v>4895</v>
      </c>
      <c r="AG153" s="4">
        <f t="shared" si="5"/>
        <v>1416.38</v>
      </c>
      <c r="AH153" s="5" t="s">
        <v>185</v>
      </c>
      <c r="AI153" s="11" t="s">
        <v>213</v>
      </c>
      <c r="AJ153" s="11" t="s">
        <v>209</v>
      </c>
      <c r="AK153" s="11" t="s">
        <v>235</v>
      </c>
    </row>
    <row r="154" spans="1:37" x14ac:dyDescent="0.3">
      <c r="A154" s="8" t="s">
        <v>83</v>
      </c>
      <c r="B154" s="8" t="s">
        <v>84</v>
      </c>
      <c r="C154" s="7">
        <v>45310</v>
      </c>
      <c r="D154" s="8" t="s">
        <v>378</v>
      </c>
      <c r="E154" s="8" t="s">
        <v>549</v>
      </c>
      <c r="F154" s="8" t="s">
        <v>549</v>
      </c>
      <c r="G154" s="8" t="s">
        <v>550</v>
      </c>
      <c r="H154" s="9">
        <v>8214</v>
      </c>
      <c r="I154" s="9">
        <v>2376.7399999999998</v>
      </c>
      <c r="L154" s="8" t="s">
        <v>105</v>
      </c>
      <c r="M154" s="8" t="s">
        <v>34</v>
      </c>
      <c r="N154" s="8" t="s">
        <v>41</v>
      </c>
      <c r="O154" s="8" t="s">
        <v>14</v>
      </c>
      <c r="P154" s="8" t="s">
        <v>42</v>
      </c>
      <c r="Q154" s="8" t="s">
        <v>549</v>
      </c>
      <c r="R154" s="8" t="s">
        <v>33</v>
      </c>
      <c r="S154" s="8" t="s">
        <v>530</v>
      </c>
      <c r="T154" s="8" t="s">
        <v>80</v>
      </c>
      <c r="U154" s="8" t="s">
        <v>32</v>
      </c>
      <c r="V154" s="8" t="s">
        <v>32</v>
      </c>
      <c r="W154" s="8" t="s">
        <v>33</v>
      </c>
      <c r="X154" s="8" t="s">
        <v>33</v>
      </c>
      <c r="Y154" s="8" t="s">
        <v>33</v>
      </c>
      <c r="Z154" s="8" t="s">
        <v>33</v>
      </c>
      <c r="AA154" s="8" t="s">
        <v>33</v>
      </c>
      <c r="AB154" s="8" t="s">
        <v>32</v>
      </c>
      <c r="AC154" s="8" t="s">
        <v>33</v>
      </c>
      <c r="AD154" s="8" t="s">
        <v>32</v>
      </c>
      <c r="AE154" s="8" t="s">
        <v>32</v>
      </c>
      <c r="AF154" s="4">
        <f t="shared" si="4"/>
        <v>8214</v>
      </c>
      <c r="AG154" s="4">
        <f t="shared" si="5"/>
        <v>2376.7399999999998</v>
      </c>
      <c r="AH154" s="5" t="s">
        <v>185</v>
      </c>
      <c r="AI154" s="11" t="s">
        <v>213</v>
      </c>
      <c r="AJ154" s="11" t="s">
        <v>209</v>
      </c>
      <c r="AK154" s="11" t="s">
        <v>235</v>
      </c>
    </row>
    <row r="155" spans="1:37" x14ac:dyDescent="0.3">
      <c r="A155" s="8" t="s">
        <v>83</v>
      </c>
      <c r="B155" s="8" t="s">
        <v>84</v>
      </c>
      <c r="C155" s="7">
        <v>45310</v>
      </c>
      <c r="D155" s="8" t="s">
        <v>379</v>
      </c>
      <c r="E155" s="8" t="s">
        <v>549</v>
      </c>
      <c r="F155" s="8" t="s">
        <v>549</v>
      </c>
      <c r="G155" s="8" t="s">
        <v>550</v>
      </c>
      <c r="H155" s="9">
        <v>7007</v>
      </c>
      <c r="I155" s="9">
        <v>2027.49</v>
      </c>
      <c r="L155" s="8" t="s">
        <v>105</v>
      </c>
      <c r="M155" s="8" t="s">
        <v>34</v>
      </c>
      <c r="N155" s="8" t="s">
        <v>41</v>
      </c>
      <c r="O155" s="8" t="s">
        <v>14</v>
      </c>
      <c r="P155" s="8" t="s">
        <v>42</v>
      </c>
      <c r="Q155" s="8" t="s">
        <v>549</v>
      </c>
      <c r="R155" s="8" t="s">
        <v>33</v>
      </c>
      <c r="S155" s="8" t="s">
        <v>530</v>
      </c>
      <c r="T155" s="8" t="s">
        <v>80</v>
      </c>
      <c r="U155" s="8" t="s">
        <v>32</v>
      </c>
      <c r="V155" s="8" t="s">
        <v>32</v>
      </c>
      <c r="W155" s="8" t="s">
        <v>33</v>
      </c>
      <c r="X155" s="8" t="s">
        <v>33</v>
      </c>
      <c r="Y155" s="8" t="s">
        <v>33</v>
      </c>
      <c r="Z155" s="8" t="s">
        <v>33</v>
      </c>
      <c r="AA155" s="8" t="s">
        <v>33</v>
      </c>
      <c r="AB155" s="8" t="s">
        <v>32</v>
      </c>
      <c r="AC155" s="8" t="s">
        <v>33</v>
      </c>
      <c r="AD155" s="8" t="s">
        <v>32</v>
      </c>
      <c r="AE155" s="8" t="s">
        <v>32</v>
      </c>
      <c r="AF155" s="4">
        <f t="shared" si="4"/>
        <v>7007</v>
      </c>
      <c r="AG155" s="4">
        <f t="shared" si="5"/>
        <v>2027.49</v>
      </c>
      <c r="AH155" s="5" t="s">
        <v>185</v>
      </c>
      <c r="AI155" s="11" t="s">
        <v>213</v>
      </c>
      <c r="AJ155" s="11" t="s">
        <v>209</v>
      </c>
      <c r="AK155" s="11" t="s">
        <v>235</v>
      </c>
    </row>
    <row r="156" spans="1:37" x14ac:dyDescent="0.3">
      <c r="A156" s="8" t="s">
        <v>83</v>
      </c>
      <c r="B156" s="8" t="s">
        <v>84</v>
      </c>
      <c r="C156" s="7">
        <v>45310</v>
      </c>
      <c r="D156" s="8" t="s">
        <v>380</v>
      </c>
      <c r="E156" s="8" t="s">
        <v>549</v>
      </c>
      <c r="F156" s="8" t="s">
        <v>549</v>
      </c>
      <c r="G156" s="8" t="s">
        <v>550</v>
      </c>
      <c r="H156" s="9">
        <v>5654</v>
      </c>
      <c r="I156" s="9">
        <v>1636</v>
      </c>
      <c r="L156" s="8" t="s">
        <v>76</v>
      </c>
      <c r="M156" s="8" t="s">
        <v>34</v>
      </c>
      <c r="N156" s="8" t="s">
        <v>41</v>
      </c>
      <c r="O156" s="8" t="s">
        <v>14</v>
      </c>
      <c r="P156" s="8" t="s">
        <v>42</v>
      </c>
      <c r="Q156" s="8" t="s">
        <v>549</v>
      </c>
      <c r="R156" s="8" t="s">
        <v>33</v>
      </c>
      <c r="S156" s="8" t="s">
        <v>530</v>
      </c>
      <c r="T156" s="8" t="s">
        <v>80</v>
      </c>
      <c r="U156" s="8" t="s">
        <v>32</v>
      </c>
      <c r="V156" s="8" t="s">
        <v>32</v>
      </c>
      <c r="W156" s="8" t="s">
        <v>33</v>
      </c>
      <c r="X156" s="8" t="s">
        <v>33</v>
      </c>
      <c r="Y156" s="8" t="s">
        <v>33</v>
      </c>
      <c r="Z156" s="8" t="s">
        <v>33</v>
      </c>
      <c r="AA156" s="8" t="s">
        <v>33</v>
      </c>
      <c r="AB156" s="8" t="s">
        <v>32</v>
      </c>
      <c r="AC156" s="8" t="s">
        <v>33</v>
      </c>
      <c r="AD156" s="8" t="s">
        <v>32</v>
      </c>
      <c r="AE156" s="8" t="s">
        <v>32</v>
      </c>
      <c r="AF156" s="4">
        <f t="shared" si="4"/>
        <v>5654</v>
      </c>
      <c r="AG156" s="4">
        <f t="shared" si="5"/>
        <v>1636</v>
      </c>
      <c r="AH156" s="5" t="s">
        <v>185</v>
      </c>
      <c r="AI156" s="11" t="s">
        <v>213</v>
      </c>
      <c r="AJ156" s="11" t="s">
        <v>205</v>
      </c>
      <c r="AK156" s="11" t="s">
        <v>235</v>
      </c>
    </row>
    <row r="157" spans="1:37" x14ac:dyDescent="0.3">
      <c r="A157" s="8" t="s">
        <v>107</v>
      </c>
      <c r="B157" s="8" t="s">
        <v>108</v>
      </c>
      <c r="C157" s="7">
        <v>45310</v>
      </c>
      <c r="D157" s="8" t="s">
        <v>381</v>
      </c>
      <c r="E157" s="8" t="s">
        <v>549</v>
      </c>
      <c r="F157" s="8" t="s">
        <v>549</v>
      </c>
      <c r="G157" s="8" t="s">
        <v>550</v>
      </c>
      <c r="H157" s="9">
        <v>4767</v>
      </c>
      <c r="I157" s="9">
        <v>1379.34</v>
      </c>
      <c r="L157" s="8" t="s">
        <v>198</v>
      </c>
      <c r="M157" s="8" t="s">
        <v>28</v>
      </c>
      <c r="N157" s="8" t="s">
        <v>35</v>
      </c>
      <c r="O157" s="8" t="s">
        <v>14</v>
      </c>
      <c r="P157" s="8" t="s">
        <v>36</v>
      </c>
      <c r="Q157" s="8" t="s">
        <v>549</v>
      </c>
      <c r="R157" s="8" t="s">
        <v>33</v>
      </c>
      <c r="S157" s="8" t="s">
        <v>530</v>
      </c>
      <c r="T157" s="8" t="s">
        <v>37</v>
      </c>
      <c r="U157" s="8" t="s">
        <v>32</v>
      </c>
      <c r="V157" s="8" t="s">
        <v>32</v>
      </c>
      <c r="W157" s="8" t="s">
        <v>33</v>
      </c>
      <c r="X157" s="8" t="s">
        <v>33</v>
      </c>
      <c r="Y157" s="8" t="s">
        <v>33</v>
      </c>
      <c r="Z157" s="8" t="s">
        <v>33</v>
      </c>
      <c r="AA157" s="8" t="s">
        <v>33</v>
      </c>
      <c r="AB157" s="8" t="s">
        <v>32</v>
      </c>
      <c r="AC157" s="8" t="s">
        <v>33</v>
      </c>
      <c r="AD157" s="8" t="s">
        <v>32</v>
      </c>
      <c r="AE157" s="8" t="s">
        <v>32</v>
      </c>
      <c r="AF157" s="4">
        <f t="shared" si="4"/>
        <v>4767</v>
      </c>
      <c r="AG157" s="4">
        <f t="shared" si="5"/>
        <v>1379.34</v>
      </c>
      <c r="AH157" s="5" t="s">
        <v>185</v>
      </c>
      <c r="AI157" s="11" t="s">
        <v>554</v>
      </c>
      <c r="AJ157" s="11" t="s">
        <v>521</v>
      </c>
      <c r="AK157" s="11" t="s">
        <v>236</v>
      </c>
    </row>
    <row r="158" spans="1:37" x14ac:dyDescent="0.3">
      <c r="A158" s="8" t="s">
        <v>107</v>
      </c>
      <c r="B158" s="8" t="s">
        <v>108</v>
      </c>
      <c r="C158" s="7">
        <v>45310</v>
      </c>
      <c r="D158" s="8" t="s">
        <v>382</v>
      </c>
      <c r="E158" s="8" t="s">
        <v>549</v>
      </c>
      <c r="F158" s="8" t="s">
        <v>549</v>
      </c>
      <c r="G158" s="8" t="s">
        <v>550</v>
      </c>
      <c r="H158" s="9">
        <v>2784</v>
      </c>
      <c r="I158" s="9">
        <v>805.56</v>
      </c>
      <c r="L158" s="8" t="s">
        <v>198</v>
      </c>
      <c r="M158" s="8" t="s">
        <v>28</v>
      </c>
      <c r="N158" s="8" t="s">
        <v>35</v>
      </c>
      <c r="O158" s="8" t="s">
        <v>14</v>
      </c>
      <c r="P158" s="8" t="s">
        <v>36</v>
      </c>
      <c r="Q158" s="8" t="s">
        <v>549</v>
      </c>
      <c r="R158" s="8" t="s">
        <v>33</v>
      </c>
      <c r="S158" s="8" t="s">
        <v>530</v>
      </c>
      <c r="T158" s="8" t="s">
        <v>37</v>
      </c>
      <c r="U158" s="8" t="s">
        <v>32</v>
      </c>
      <c r="V158" s="8" t="s">
        <v>32</v>
      </c>
      <c r="W158" s="8" t="s">
        <v>33</v>
      </c>
      <c r="X158" s="8" t="s">
        <v>33</v>
      </c>
      <c r="Y158" s="8" t="s">
        <v>33</v>
      </c>
      <c r="Z158" s="8" t="s">
        <v>33</v>
      </c>
      <c r="AA158" s="8" t="s">
        <v>33</v>
      </c>
      <c r="AB158" s="8" t="s">
        <v>32</v>
      </c>
      <c r="AC158" s="8" t="s">
        <v>33</v>
      </c>
      <c r="AD158" s="8" t="s">
        <v>32</v>
      </c>
      <c r="AE158" s="8" t="s">
        <v>32</v>
      </c>
      <c r="AF158" s="4">
        <f t="shared" si="4"/>
        <v>2784</v>
      </c>
      <c r="AG158" s="4">
        <f t="shared" si="5"/>
        <v>805.56</v>
      </c>
      <c r="AH158" s="5" t="s">
        <v>185</v>
      </c>
      <c r="AI158" s="11" t="s">
        <v>554</v>
      </c>
      <c r="AJ158" s="11" t="s">
        <v>521</v>
      </c>
      <c r="AK158" s="11" t="s">
        <v>236</v>
      </c>
    </row>
    <row r="159" spans="1:37" x14ac:dyDescent="0.3">
      <c r="A159" s="8" t="s">
        <v>83</v>
      </c>
      <c r="B159" s="8" t="s">
        <v>84</v>
      </c>
      <c r="C159" s="7">
        <v>45312</v>
      </c>
      <c r="D159" s="8" t="s">
        <v>383</v>
      </c>
      <c r="E159" s="8" t="s">
        <v>549</v>
      </c>
      <c r="F159" s="8" t="s">
        <v>549</v>
      </c>
      <c r="G159" s="8" t="s">
        <v>550</v>
      </c>
      <c r="H159" s="9">
        <v>1943</v>
      </c>
      <c r="I159" s="9">
        <v>562.21</v>
      </c>
      <c r="L159" s="8" t="s">
        <v>76</v>
      </c>
      <c r="M159" s="8" t="s">
        <v>34</v>
      </c>
      <c r="N159" s="8" t="s">
        <v>41</v>
      </c>
      <c r="O159" s="8" t="s">
        <v>14</v>
      </c>
      <c r="P159" s="8" t="s">
        <v>42</v>
      </c>
      <c r="Q159" s="8" t="s">
        <v>549</v>
      </c>
      <c r="R159" s="8" t="s">
        <v>33</v>
      </c>
      <c r="S159" s="8" t="s">
        <v>530</v>
      </c>
      <c r="T159" s="8" t="s">
        <v>80</v>
      </c>
      <c r="U159" s="8" t="s">
        <v>32</v>
      </c>
      <c r="V159" s="8" t="s">
        <v>32</v>
      </c>
      <c r="W159" s="8" t="s">
        <v>33</v>
      </c>
      <c r="X159" s="8" t="s">
        <v>33</v>
      </c>
      <c r="Y159" s="8" t="s">
        <v>33</v>
      </c>
      <c r="Z159" s="8" t="s">
        <v>33</v>
      </c>
      <c r="AA159" s="8" t="s">
        <v>33</v>
      </c>
      <c r="AB159" s="8" t="s">
        <v>32</v>
      </c>
      <c r="AC159" s="8" t="s">
        <v>33</v>
      </c>
      <c r="AD159" s="8" t="s">
        <v>32</v>
      </c>
      <c r="AE159" s="8" t="s">
        <v>32</v>
      </c>
      <c r="AF159" s="4">
        <f t="shared" si="4"/>
        <v>1943</v>
      </c>
      <c r="AG159" s="4">
        <f t="shared" si="5"/>
        <v>562.21</v>
      </c>
      <c r="AH159" s="5" t="s">
        <v>185</v>
      </c>
      <c r="AI159" s="11" t="s">
        <v>213</v>
      </c>
      <c r="AJ159" s="11" t="s">
        <v>205</v>
      </c>
      <c r="AK159" s="11" t="s">
        <v>235</v>
      </c>
    </row>
    <row r="160" spans="1:37" x14ac:dyDescent="0.3">
      <c r="A160" s="8" t="s">
        <v>94</v>
      </c>
      <c r="B160" s="8" t="s">
        <v>95</v>
      </c>
      <c r="C160" s="7">
        <v>45312</v>
      </c>
      <c r="D160" s="8" t="s">
        <v>384</v>
      </c>
      <c r="E160" s="8" t="s">
        <v>549</v>
      </c>
      <c r="F160" s="8" t="s">
        <v>549</v>
      </c>
      <c r="G160" s="8" t="s">
        <v>550</v>
      </c>
      <c r="H160" s="9">
        <v>3675</v>
      </c>
      <c r="I160" s="9">
        <v>1063.3699999999999</v>
      </c>
      <c r="L160" s="8" t="s">
        <v>89</v>
      </c>
      <c r="M160" s="8" t="s">
        <v>34</v>
      </c>
      <c r="N160" s="8" t="s">
        <v>29</v>
      </c>
      <c r="O160" s="8" t="s">
        <v>14</v>
      </c>
      <c r="P160" s="8" t="s">
        <v>30</v>
      </c>
      <c r="Q160" s="8" t="s">
        <v>549</v>
      </c>
      <c r="R160" s="8" t="s">
        <v>33</v>
      </c>
      <c r="S160" s="8" t="s">
        <v>530</v>
      </c>
      <c r="T160" s="8" t="s">
        <v>31</v>
      </c>
      <c r="U160" s="8" t="s">
        <v>32</v>
      </c>
      <c r="V160" s="8" t="s">
        <v>32</v>
      </c>
      <c r="W160" s="8" t="s">
        <v>33</v>
      </c>
      <c r="X160" s="8" t="s">
        <v>33</v>
      </c>
      <c r="Y160" s="8" t="s">
        <v>33</v>
      </c>
      <c r="Z160" s="8" t="s">
        <v>33</v>
      </c>
      <c r="AA160" s="8" t="s">
        <v>33</v>
      </c>
      <c r="AB160" s="8" t="s">
        <v>32</v>
      </c>
      <c r="AC160" s="8" t="s">
        <v>33</v>
      </c>
      <c r="AD160" s="8" t="s">
        <v>32</v>
      </c>
      <c r="AE160" s="8" t="s">
        <v>32</v>
      </c>
      <c r="AF160" s="4">
        <f t="shared" si="4"/>
        <v>3675</v>
      </c>
      <c r="AG160" s="4">
        <f t="shared" si="5"/>
        <v>1063.3699999999999</v>
      </c>
      <c r="AH160" s="5" t="s">
        <v>185</v>
      </c>
      <c r="AI160" s="11" t="s">
        <v>222</v>
      </c>
      <c r="AJ160" s="11" t="s">
        <v>208</v>
      </c>
      <c r="AK160" s="11" t="s">
        <v>235</v>
      </c>
    </row>
    <row r="161" spans="1:37" x14ac:dyDescent="0.3">
      <c r="A161" s="8" t="s">
        <v>107</v>
      </c>
      <c r="B161" s="8" t="s">
        <v>108</v>
      </c>
      <c r="C161" s="7">
        <v>45312</v>
      </c>
      <c r="D161" s="8" t="s">
        <v>385</v>
      </c>
      <c r="E161" s="8" t="s">
        <v>549</v>
      </c>
      <c r="F161" s="8" t="s">
        <v>549</v>
      </c>
      <c r="G161" s="8" t="s">
        <v>550</v>
      </c>
      <c r="H161" s="9">
        <v>8286</v>
      </c>
      <c r="I161" s="9">
        <v>2397.5700000000002</v>
      </c>
      <c r="L161" s="8" t="s">
        <v>198</v>
      </c>
      <c r="M161" s="8" t="s">
        <v>34</v>
      </c>
      <c r="N161" s="8" t="s">
        <v>35</v>
      </c>
      <c r="O161" s="8" t="s">
        <v>14</v>
      </c>
      <c r="P161" s="8" t="s">
        <v>36</v>
      </c>
      <c r="Q161" s="8" t="s">
        <v>549</v>
      </c>
      <c r="R161" s="8" t="s">
        <v>33</v>
      </c>
      <c r="S161" s="8" t="s">
        <v>530</v>
      </c>
      <c r="T161" s="8" t="s">
        <v>37</v>
      </c>
      <c r="U161" s="8" t="s">
        <v>32</v>
      </c>
      <c r="V161" s="8" t="s">
        <v>32</v>
      </c>
      <c r="W161" s="8" t="s">
        <v>33</v>
      </c>
      <c r="X161" s="8" t="s">
        <v>33</v>
      </c>
      <c r="Y161" s="8" t="s">
        <v>33</v>
      </c>
      <c r="Z161" s="8" t="s">
        <v>33</v>
      </c>
      <c r="AA161" s="8" t="s">
        <v>33</v>
      </c>
      <c r="AB161" s="8" t="s">
        <v>32</v>
      </c>
      <c r="AC161" s="8" t="s">
        <v>33</v>
      </c>
      <c r="AD161" s="8" t="s">
        <v>32</v>
      </c>
      <c r="AE161" s="8" t="s">
        <v>32</v>
      </c>
      <c r="AF161" s="4">
        <f t="shared" si="4"/>
        <v>8286</v>
      </c>
      <c r="AG161" s="4">
        <f t="shared" si="5"/>
        <v>2397.5700000000002</v>
      </c>
      <c r="AH161" s="5" t="s">
        <v>185</v>
      </c>
      <c r="AI161" s="11" t="s">
        <v>554</v>
      </c>
      <c r="AJ161" s="11" t="s">
        <v>521</v>
      </c>
      <c r="AK161" s="11" t="s">
        <v>236</v>
      </c>
    </row>
    <row r="162" spans="1:37" x14ac:dyDescent="0.3">
      <c r="A162" s="8" t="s">
        <v>83</v>
      </c>
      <c r="B162" s="8" t="s">
        <v>84</v>
      </c>
      <c r="C162" s="7">
        <v>45313</v>
      </c>
      <c r="D162" s="8" t="s">
        <v>386</v>
      </c>
      <c r="E162" s="8" t="s">
        <v>549</v>
      </c>
      <c r="F162" s="8" t="s">
        <v>549</v>
      </c>
      <c r="G162" s="8" t="s">
        <v>550</v>
      </c>
      <c r="H162" s="9">
        <v>3616</v>
      </c>
      <c r="I162" s="9">
        <v>1046.3</v>
      </c>
      <c r="L162" s="8" t="s">
        <v>105</v>
      </c>
      <c r="M162" s="8" t="s">
        <v>34</v>
      </c>
      <c r="N162" s="8" t="s">
        <v>41</v>
      </c>
      <c r="O162" s="8" t="s">
        <v>14</v>
      </c>
      <c r="P162" s="8" t="s">
        <v>42</v>
      </c>
      <c r="Q162" s="8" t="s">
        <v>549</v>
      </c>
      <c r="R162" s="8" t="s">
        <v>33</v>
      </c>
      <c r="S162" s="8" t="s">
        <v>530</v>
      </c>
      <c r="T162" s="8" t="s">
        <v>80</v>
      </c>
      <c r="U162" s="8" t="s">
        <v>32</v>
      </c>
      <c r="V162" s="8" t="s">
        <v>32</v>
      </c>
      <c r="W162" s="8" t="s">
        <v>33</v>
      </c>
      <c r="X162" s="8" t="s">
        <v>33</v>
      </c>
      <c r="Y162" s="8" t="s">
        <v>33</v>
      </c>
      <c r="Z162" s="8" t="s">
        <v>33</v>
      </c>
      <c r="AA162" s="8" t="s">
        <v>33</v>
      </c>
      <c r="AB162" s="8" t="s">
        <v>32</v>
      </c>
      <c r="AC162" s="8" t="s">
        <v>33</v>
      </c>
      <c r="AD162" s="8" t="s">
        <v>32</v>
      </c>
      <c r="AE162" s="8" t="s">
        <v>32</v>
      </c>
      <c r="AF162" s="4">
        <f t="shared" si="4"/>
        <v>3616</v>
      </c>
      <c r="AG162" s="4">
        <f t="shared" si="5"/>
        <v>1046.3</v>
      </c>
      <c r="AH162" s="5" t="s">
        <v>185</v>
      </c>
      <c r="AI162" s="11" t="s">
        <v>213</v>
      </c>
      <c r="AJ162" s="11" t="s">
        <v>209</v>
      </c>
      <c r="AK162" s="11" t="s">
        <v>235</v>
      </c>
    </row>
    <row r="163" spans="1:37" x14ac:dyDescent="0.3">
      <c r="A163" s="8" t="s">
        <v>83</v>
      </c>
      <c r="B163" s="8" t="s">
        <v>84</v>
      </c>
      <c r="C163" s="7">
        <v>45313</v>
      </c>
      <c r="D163" s="8" t="s">
        <v>387</v>
      </c>
      <c r="E163" s="8" t="s">
        <v>549</v>
      </c>
      <c r="F163" s="8" t="s">
        <v>549</v>
      </c>
      <c r="G163" s="8" t="s">
        <v>550</v>
      </c>
      <c r="H163" s="9">
        <v>227</v>
      </c>
      <c r="I163" s="9">
        <v>65.680000000000007</v>
      </c>
      <c r="L163" s="8" t="s">
        <v>105</v>
      </c>
      <c r="M163" s="8" t="s">
        <v>34</v>
      </c>
      <c r="N163" s="8" t="s">
        <v>41</v>
      </c>
      <c r="O163" s="8" t="s">
        <v>14</v>
      </c>
      <c r="P163" s="8" t="s">
        <v>42</v>
      </c>
      <c r="Q163" s="8" t="s">
        <v>549</v>
      </c>
      <c r="R163" s="8" t="s">
        <v>33</v>
      </c>
      <c r="S163" s="8" t="s">
        <v>530</v>
      </c>
      <c r="T163" s="8" t="s">
        <v>80</v>
      </c>
      <c r="U163" s="8" t="s">
        <v>32</v>
      </c>
      <c r="V163" s="8" t="s">
        <v>32</v>
      </c>
      <c r="W163" s="8" t="s">
        <v>33</v>
      </c>
      <c r="X163" s="8" t="s">
        <v>33</v>
      </c>
      <c r="Y163" s="8" t="s">
        <v>33</v>
      </c>
      <c r="Z163" s="8" t="s">
        <v>33</v>
      </c>
      <c r="AA163" s="8" t="s">
        <v>33</v>
      </c>
      <c r="AB163" s="8" t="s">
        <v>32</v>
      </c>
      <c r="AC163" s="8" t="s">
        <v>33</v>
      </c>
      <c r="AD163" s="8" t="s">
        <v>32</v>
      </c>
      <c r="AE163" s="8" t="s">
        <v>32</v>
      </c>
      <c r="AF163" s="4">
        <f t="shared" si="4"/>
        <v>227</v>
      </c>
      <c r="AG163" s="4">
        <f t="shared" si="5"/>
        <v>65.680000000000007</v>
      </c>
      <c r="AH163" s="5" t="s">
        <v>185</v>
      </c>
      <c r="AI163" s="11" t="s">
        <v>213</v>
      </c>
      <c r="AJ163" s="11" t="s">
        <v>209</v>
      </c>
      <c r="AK163" s="11" t="s">
        <v>235</v>
      </c>
    </row>
    <row r="164" spans="1:37" x14ac:dyDescent="0.3">
      <c r="A164" s="8" t="s">
        <v>83</v>
      </c>
      <c r="B164" s="8" t="s">
        <v>84</v>
      </c>
      <c r="C164" s="7">
        <v>45313</v>
      </c>
      <c r="D164" s="8" t="s">
        <v>388</v>
      </c>
      <c r="E164" s="8" t="s">
        <v>549</v>
      </c>
      <c r="F164" s="8" t="s">
        <v>549</v>
      </c>
      <c r="G164" s="8" t="s">
        <v>550</v>
      </c>
      <c r="H164" s="9">
        <v>8512</v>
      </c>
      <c r="I164" s="9">
        <v>2462.96</v>
      </c>
      <c r="L164" s="8" t="s">
        <v>105</v>
      </c>
      <c r="M164" s="8" t="s">
        <v>34</v>
      </c>
      <c r="N164" s="8" t="s">
        <v>41</v>
      </c>
      <c r="O164" s="8" t="s">
        <v>14</v>
      </c>
      <c r="P164" s="8" t="s">
        <v>42</v>
      </c>
      <c r="Q164" s="8" t="s">
        <v>549</v>
      </c>
      <c r="R164" s="8" t="s">
        <v>33</v>
      </c>
      <c r="S164" s="8" t="s">
        <v>530</v>
      </c>
      <c r="T164" s="8" t="s">
        <v>80</v>
      </c>
      <c r="U164" s="8" t="s">
        <v>32</v>
      </c>
      <c r="V164" s="8" t="s">
        <v>32</v>
      </c>
      <c r="W164" s="8" t="s">
        <v>33</v>
      </c>
      <c r="X164" s="8" t="s">
        <v>33</v>
      </c>
      <c r="Y164" s="8" t="s">
        <v>33</v>
      </c>
      <c r="Z164" s="8" t="s">
        <v>33</v>
      </c>
      <c r="AA164" s="8" t="s">
        <v>33</v>
      </c>
      <c r="AB164" s="8" t="s">
        <v>32</v>
      </c>
      <c r="AC164" s="8" t="s">
        <v>33</v>
      </c>
      <c r="AD164" s="8" t="s">
        <v>32</v>
      </c>
      <c r="AE164" s="8" t="s">
        <v>32</v>
      </c>
      <c r="AF164" s="4">
        <f t="shared" si="4"/>
        <v>8512</v>
      </c>
      <c r="AG164" s="4">
        <f t="shared" si="5"/>
        <v>2462.96</v>
      </c>
      <c r="AH164" s="5" t="s">
        <v>185</v>
      </c>
      <c r="AI164" s="11" t="s">
        <v>213</v>
      </c>
      <c r="AJ164" s="11" t="s">
        <v>209</v>
      </c>
      <c r="AK164" s="11" t="s">
        <v>235</v>
      </c>
    </row>
    <row r="165" spans="1:37" x14ac:dyDescent="0.3">
      <c r="A165" s="8" t="s">
        <v>83</v>
      </c>
      <c r="B165" s="8" t="s">
        <v>84</v>
      </c>
      <c r="C165" s="7">
        <v>45313</v>
      </c>
      <c r="D165" s="8" t="s">
        <v>389</v>
      </c>
      <c r="E165" s="8" t="s">
        <v>549</v>
      </c>
      <c r="F165" s="8" t="s">
        <v>549</v>
      </c>
      <c r="G165" s="8" t="s">
        <v>550</v>
      </c>
      <c r="H165" s="9">
        <v>1011</v>
      </c>
      <c r="I165" s="9">
        <v>292.52999999999997</v>
      </c>
      <c r="L165" s="8" t="s">
        <v>105</v>
      </c>
      <c r="M165" s="8" t="s">
        <v>34</v>
      </c>
      <c r="N165" s="8" t="s">
        <v>41</v>
      </c>
      <c r="O165" s="8" t="s">
        <v>14</v>
      </c>
      <c r="P165" s="8" t="s">
        <v>42</v>
      </c>
      <c r="Q165" s="8" t="s">
        <v>549</v>
      </c>
      <c r="R165" s="8" t="s">
        <v>33</v>
      </c>
      <c r="S165" s="8" t="s">
        <v>530</v>
      </c>
      <c r="T165" s="8" t="s">
        <v>80</v>
      </c>
      <c r="U165" s="8" t="s">
        <v>32</v>
      </c>
      <c r="V165" s="8" t="s">
        <v>32</v>
      </c>
      <c r="W165" s="8" t="s">
        <v>33</v>
      </c>
      <c r="X165" s="8" t="s">
        <v>33</v>
      </c>
      <c r="Y165" s="8" t="s">
        <v>33</v>
      </c>
      <c r="Z165" s="8" t="s">
        <v>33</v>
      </c>
      <c r="AA165" s="8" t="s">
        <v>33</v>
      </c>
      <c r="AB165" s="8" t="s">
        <v>32</v>
      </c>
      <c r="AC165" s="8" t="s">
        <v>33</v>
      </c>
      <c r="AD165" s="8" t="s">
        <v>32</v>
      </c>
      <c r="AE165" s="8" t="s">
        <v>32</v>
      </c>
      <c r="AF165" s="4">
        <f t="shared" si="4"/>
        <v>1011</v>
      </c>
      <c r="AG165" s="4">
        <f t="shared" si="5"/>
        <v>292.52999999999997</v>
      </c>
      <c r="AH165" s="5" t="s">
        <v>185</v>
      </c>
      <c r="AI165" s="11" t="s">
        <v>213</v>
      </c>
      <c r="AJ165" s="11" t="s">
        <v>209</v>
      </c>
      <c r="AK165" s="11" t="s">
        <v>235</v>
      </c>
    </row>
    <row r="166" spans="1:37" x14ac:dyDescent="0.3">
      <c r="A166" s="8" t="s">
        <v>83</v>
      </c>
      <c r="B166" s="8" t="s">
        <v>84</v>
      </c>
      <c r="C166" s="7">
        <v>45313</v>
      </c>
      <c r="D166" s="8" t="s">
        <v>390</v>
      </c>
      <c r="E166" s="8" t="s">
        <v>549</v>
      </c>
      <c r="F166" s="8" t="s">
        <v>549</v>
      </c>
      <c r="G166" s="8" t="s">
        <v>550</v>
      </c>
      <c r="H166" s="9">
        <v>4293</v>
      </c>
      <c r="I166" s="9">
        <v>1242.19</v>
      </c>
      <c r="L166" s="8" t="s">
        <v>105</v>
      </c>
      <c r="M166" s="8" t="s">
        <v>34</v>
      </c>
      <c r="N166" s="8" t="s">
        <v>41</v>
      </c>
      <c r="O166" s="8" t="s">
        <v>14</v>
      </c>
      <c r="P166" s="8" t="s">
        <v>42</v>
      </c>
      <c r="Q166" s="8" t="s">
        <v>549</v>
      </c>
      <c r="R166" s="8" t="s">
        <v>33</v>
      </c>
      <c r="S166" s="8" t="s">
        <v>530</v>
      </c>
      <c r="T166" s="8" t="s">
        <v>80</v>
      </c>
      <c r="U166" s="8" t="s">
        <v>32</v>
      </c>
      <c r="V166" s="8" t="s">
        <v>32</v>
      </c>
      <c r="W166" s="8" t="s">
        <v>33</v>
      </c>
      <c r="X166" s="8" t="s">
        <v>33</v>
      </c>
      <c r="Y166" s="8" t="s">
        <v>33</v>
      </c>
      <c r="Z166" s="8" t="s">
        <v>33</v>
      </c>
      <c r="AA166" s="8" t="s">
        <v>33</v>
      </c>
      <c r="AB166" s="8" t="s">
        <v>32</v>
      </c>
      <c r="AC166" s="8" t="s">
        <v>33</v>
      </c>
      <c r="AD166" s="8" t="s">
        <v>32</v>
      </c>
      <c r="AE166" s="8" t="s">
        <v>32</v>
      </c>
      <c r="AF166" s="4">
        <f t="shared" si="4"/>
        <v>4293</v>
      </c>
      <c r="AG166" s="4">
        <f t="shared" si="5"/>
        <v>1242.19</v>
      </c>
      <c r="AH166" s="5" t="s">
        <v>185</v>
      </c>
      <c r="AI166" s="11" t="s">
        <v>213</v>
      </c>
      <c r="AJ166" s="11" t="s">
        <v>209</v>
      </c>
      <c r="AK166" s="11" t="s">
        <v>235</v>
      </c>
    </row>
    <row r="167" spans="1:37" x14ac:dyDescent="0.3">
      <c r="A167" s="8" t="s">
        <v>85</v>
      </c>
      <c r="B167" s="8" t="s">
        <v>86</v>
      </c>
      <c r="C167" s="7">
        <v>45313</v>
      </c>
      <c r="D167" s="8" t="s">
        <v>391</v>
      </c>
      <c r="E167" s="8" t="s">
        <v>549</v>
      </c>
      <c r="F167" s="8" t="s">
        <v>549</v>
      </c>
      <c r="G167" s="8" t="s">
        <v>550</v>
      </c>
      <c r="H167" s="9">
        <v>923</v>
      </c>
      <c r="I167" s="9">
        <v>267.07</v>
      </c>
      <c r="L167" s="8" t="s">
        <v>92</v>
      </c>
      <c r="M167" s="8" t="s">
        <v>34</v>
      </c>
      <c r="N167" s="8" t="s">
        <v>41</v>
      </c>
      <c r="O167" s="8" t="s">
        <v>14</v>
      </c>
      <c r="P167" s="8" t="s">
        <v>42</v>
      </c>
      <c r="Q167" s="8" t="s">
        <v>549</v>
      </c>
      <c r="R167" s="8" t="s">
        <v>33</v>
      </c>
      <c r="S167" s="8" t="s">
        <v>530</v>
      </c>
      <c r="T167" s="8" t="s">
        <v>80</v>
      </c>
      <c r="U167" s="8" t="s">
        <v>242</v>
      </c>
      <c r="V167" s="8" t="s">
        <v>241</v>
      </c>
      <c r="W167" s="8" t="s">
        <v>33</v>
      </c>
      <c r="X167" s="8" t="s">
        <v>33</v>
      </c>
      <c r="Y167" s="8" t="s">
        <v>33</v>
      </c>
      <c r="Z167" s="8" t="s">
        <v>33</v>
      </c>
      <c r="AA167" s="8" t="s">
        <v>33</v>
      </c>
      <c r="AB167" s="8" t="s">
        <v>32</v>
      </c>
      <c r="AC167" s="8" t="s">
        <v>33</v>
      </c>
      <c r="AD167" s="8" t="s">
        <v>32</v>
      </c>
      <c r="AE167" s="8" t="s">
        <v>32</v>
      </c>
      <c r="AF167" s="4">
        <f t="shared" si="4"/>
        <v>923</v>
      </c>
      <c r="AG167" s="4">
        <f t="shared" si="5"/>
        <v>267.07</v>
      </c>
      <c r="AH167" s="5" t="s">
        <v>185</v>
      </c>
      <c r="AI167" s="11" t="s">
        <v>213</v>
      </c>
      <c r="AJ167" s="11" t="s">
        <v>207</v>
      </c>
      <c r="AK167" s="11" t="s">
        <v>235</v>
      </c>
    </row>
    <row r="168" spans="1:37" x14ac:dyDescent="0.3">
      <c r="A168" s="8" t="s">
        <v>83</v>
      </c>
      <c r="B168" s="8" t="s">
        <v>84</v>
      </c>
      <c r="C168" s="7">
        <v>45313</v>
      </c>
      <c r="D168" s="8" t="s">
        <v>392</v>
      </c>
      <c r="E168" s="8" t="s">
        <v>549</v>
      </c>
      <c r="F168" s="8" t="s">
        <v>549</v>
      </c>
      <c r="G168" s="8" t="s">
        <v>550</v>
      </c>
      <c r="H168" s="9">
        <v>8330</v>
      </c>
      <c r="I168" s="9">
        <v>2410.3000000000002</v>
      </c>
      <c r="L168" s="8" t="s">
        <v>76</v>
      </c>
      <c r="M168" s="8" t="s">
        <v>34</v>
      </c>
      <c r="N168" s="8" t="s">
        <v>41</v>
      </c>
      <c r="O168" s="8" t="s">
        <v>14</v>
      </c>
      <c r="P168" s="8" t="s">
        <v>42</v>
      </c>
      <c r="Q168" s="8" t="s">
        <v>549</v>
      </c>
      <c r="R168" s="8" t="s">
        <v>33</v>
      </c>
      <c r="S168" s="8" t="s">
        <v>530</v>
      </c>
      <c r="T168" s="8" t="s">
        <v>80</v>
      </c>
      <c r="U168" s="8" t="s">
        <v>32</v>
      </c>
      <c r="V168" s="8" t="s">
        <v>32</v>
      </c>
      <c r="W168" s="8" t="s">
        <v>33</v>
      </c>
      <c r="X168" s="8" t="s">
        <v>33</v>
      </c>
      <c r="Y168" s="8" t="s">
        <v>33</v>
      </c>
      <c r="Z168" s="8" t="s">
        <v>33</v>
      </c>
      <c r="AA168" s="8" t="s">
        <v>33</v>
      </c>
      <c r="AB168" s="8" t="s">
        <v>32</v>
      </c>
      <c r="AC168" s="8" t="s">
        <v>33</v>
      </c>
      <c r="AD168" s="8" t="s">
        <v>32</v>
      </c>
      <c r="AE168" s="8" t="s">
        <v>32</v>
      </c>
      <c r="AF168" s="4">
        <f t="shared" si="4"/>
        <v>8330</v>
      </c>
      <c r="AG168" s="4">
        <f t="shared" si="5"/>
        <v>2410.3000000000002</v>
      </c>
      <c r="AH168" s="5" t="s">
        <v>185</v>
      </c>
      <c r="AI168" s="11" t="s">
        <v>213</v>
      </c>
      <c r="AJ168" s="11" t="s">
        <v>205</v>
      </c>
      <c r="AK168" s="11" t="s">
        <v>235</v>
      </c>
    </row>
    <row r="169" spans="1:37" x14ac:dyDescent="0.3">
      <c r="A169" s="8" t="s">
        <v>83</v>
      </c>
      <c r="B169" s="8" t="s">
        <v>84</v>
      </c>
      <c r="C169" s="7">
        <v>45313</v>
      </c>
      <c r="D169" s="8" t="s">
        <v>393</v>
      </c>
      <c r="E169" s="8" t="s">
        <v>549</v>
      </c>
      <c r="F169" s="8" t="s">
        <v>549</v>
      </c>
      <c r="G169" s="8" t="s">
        <v>550</v>
      </c>
      <c r="H169" s="9">
        <v>6695</v>
      </c>
      <c r="I169" s="9">
        <v>1937.21</v>
      </c>
      <c r="L169" s="8" t="s">
        <v>105</v>
      </c>
      <c r="M169" s="8" t="s">
        <v>34</v>
      </c>
      <c r="N169" s="8" t="s">
        <v>41</v>
      </c>
      <c r="O169" s="8" t="s">
        <v>14</v>
      </c>
      <c r="P169" s="8" t="s">
        <v>42</v>
      </c>
      <c r="Q169" s="8" t="s">
        <v>549</v>
      </c>
      <c r="R169" s="8" t="s">
        <v>33</v>
      </c>
      <c r="S169" s="8" t="s">
        <v>530</v>
      </c>
      <c r="T169" s="8" t="s">
        <v>80</v>
      </c>
      <c r="U169" s="8" t="s">
        <v>32</v>
      </c>
      <c r="V169" s="8" t="s">
        <v>32</v>
      </c>
      <c r="W169" s="8" t="s">
        <v>33</v>
      </c>
      <c r="X169" s="8" t="s">
        <v>33</v>
      </c>
      <c r="Y169" s="8" t="s">
        <v>33</v>
      </c>
      <c r="Z169" s="8" t="s">
        <v>33</v>
      </c>
      <c r="AA169" s="8" t="s">
        <v>33</v>
      </c>
      <c r="AB169" s="8" t="s">
        <v>32</v>
      </c>
      <c r="AC169" s="8" t="s">
        <v>33</v>
      </c>
      <c r="AD169" s="8" t="s">
        <v>32</v>
      </c>
      <c r="AE169" s="8" t="s">
        <v>32</v>
      </c>
      <c r="AF169" s="4">
        <f t="shared" si="4"/>
        <v>6695</v>
      </c>
      <c r="AG169" s="4">
        <f t="shared" si="5"/>
        <v>1937.21</v>
      </c>
      <c r="AH169" s="5" t="s">
        <v>185</v>
      </c>
      <c r="AI169" s="11" t="s">
        <v>213</v>
      </c>
      <c r="AJ169" s="11" t="s">
        <v>209</v>
      </c>
      <c r="AK169" s="11" t="s">
        <v>235</v>
      </c>
    </row>
    <row r="170" spans="1:37" x14ac:dyDescent="0.3">
      <c r="A170" s="8" t="s">
        <v>146</v>
      </c>
      <c r="B170" s="8" t="s">
        <v>147</v>
      </c>
      <c r="C170" s="7">
        <v>45313</v>
      </c>
      <c r="D170" s="8" t="s">
        <v>525</v>
      </c>
      <c r="E170" s="8" t="s">
        <v>549</v>
      </c>
      <c r="F170" s="8" t="s">
        <v>549</v>
      </c>
      <c r="G170" s="8" t="s">
        <v>550</v>
      </c>
      <c r="H170" s="9">
        <v>2374</v>
      </c>
      <c r="I170" s="9">
        <v>686.92</v>
      </c>
      <c r="L170" s="8" t="s">
        <v>93</v>
      </c>
      <c r="M170" s="8" t="s">
        <v>38</v>
      </c>
      <c r="N170" s="8" t="s">
        <v>29</v>
      </c>
      <c r="O170" s="8" t="s">
        <v>14</v>
      </c>
      <c r="P170" s="8" t="s">
        <v>30</v>
      </c>
      <c r="Q170" s="8" t="s">
        <v>549</v>
      </c>
      <c r="R170" s="8" t="s">
        <v>33</v>
      </c>
      <c r="S170" s="8" t="s">
        <v>530</v>
      </c>
      <c r="T170" s="8" t="s">
        <v>31</v>
      </c>
      <c r="U170" s="8" t="s">
        <v>32</v>
      </c>
      <c r="V170" s="8" t="s">
        <v>32</v>
      </c>
      <c r="W170" s="8" t="s">
        <v>33</v>
      </c>
      <c r="X170" s="8" t="s">
        <v>33</v>
      </c>
      <c r="Y170" s="8" t="s">
        <v>33</v>
      </c>
      <c r="Z170" s="8" t="s">
        <v>33</v>
      </c>
      <c r="AA170" s="8" t="s">
        <v>33</v>
      </c>
      <c r="AB170" s="8" t="s">
        <v>32</v>
      </c>
      <c r="AC170" s="8" t="s">
        <v>33</v>
      </c>
      <c r="AD170" s="8" t="s">
        <v>32</v>
      </c>
      <c r="AE170" s="8" t="s">
        <v>32</v>
      </c>
      <c r="AF170" s="4">
        <f t="shared" si="4"/>
        <v>2374</v>
      </c>
      <c r="AG170" s="4">
        <f t="shared" si="5"/>
        <v>686.92</v>
      </c>
      <c r="AH170" s="5" t="s">
        <v>185</v>
      </c>
      <c r="AI170" s="11" t="s">
        <v>214</v>
      </c>
      <c r="AJ170" s="11" t="s">
        <v>206</v>
      </c>
      <c r="AK170" s="11" t="s">
        <v>235</v>
      </c>
    </row>
    <row r="171" spans="1:37" x14ac:dyDescent="0.3">
      <c r="A171" s="8" t="s">
        <v>150</v>
      </c>
      <c r="B171" s="8" t="s">
        <v>151</v>
      </c>
      <c r="C171" s="7">
        <v>45313</v>
      </c>
      <c r="D171" s="8" t="s">
        <v>394</v>
      </c>
      <c r="E171" s="8" t="s">
        <v>549</v>
      </c>
      <c r="F171" s="8" t="s">
        <v>549</v>
      </c>
      <c r="G171" s="8" t="s">
        <v>550</v>
      </c>
      <c r="H171" s="9">
        <v>3831</v>
      </c>
      <c r="I171" s="9">
        <v>1108.51</v>
      </c>
      <c r="L171" s="8" t="s">
        <v>119</v>
      </c>
      <c r="M171" s="8" t="s">
        <v>34</v>
      </c>
      <c r="N171" s="8" t="s">
        <v>29</v>
      </c>
      <c r="O171" s="8" t="s">
        <v>14</v>
      </c>
      <c r="P171" s="8" t="s">
        <v>30</v>
      </c>
      <c r="Q171" s="8" t="s">
        <v>549</v>
      </c>
      <c r="R171" s="8" t="s">
        <v>33</v>
      </c>
      <c r="S171" s="8" t="s">
        <v>530</v>
      </c>
      <c r="T171" s="8" t="s">
        <v>31</v>
      </c>
      <c r="U171" s="8" t="s">
        <v>32</v>
      </c>
      <c r="V171" s="8" t="s">
        <v>32</v>
      </c>
      <c r="W171" s="8" t="s">
        <v>33</v>
      </c>
      <c r="X171" s="8" t="s">
        <v>33</v>
      </c>
      <c r="Y171" s="8" t="s">
        <v>33</v>
      </c>
      <c r="Z171" s="8" t="s">
        <v>33</v>
      </c>
      <c r="AA171" s="8" t="s">
        <v>33</v>
      </c>
      <c r="AB171" s="8" t="s">
        <v>32</v>
      </c>
      <c r="AC171" s="8" t="s">
        <v>33</v>
      </c>
      <c r="AD171" s="8" t="s">
        <v>32</v>
      </c>
      <c r="AE171" s="8" t="s">
        <v>32</v>
      </c>
      <c r="AF171" s="4">
        <f t="shared" si="4"/>
        <v>3831</v>
      </c>
      <c r="AG171" s="4">
        <f t="shared" si="5"/>
        <v>1108.51</v>
      </c>
      <c r="AH171" s="5" t="s">
        <v>184</v>
      </c>
      <c r="AI171" s="11" t="s">
        <v>551</v>
      </c>
      <c r="AJ171" s="11" t="s">
        <v>541</v>
      </c>
      <c r="AK171" s="11" t="s">
        <v>237</v>
      </c>
    </row>
    <row r="172" spans="1:37" x14ac:dyDescent="0.3">
      <c r="A172" s="8" t="s">
        <v>150</v>
      </c>
      <c r="B172" s="8" t="s">
        <v>151</v>
      </c>
      <c r="C172" s="7">
        <v>45313</v>
      </c>
      <c r="D172" s="8" t="s">
        <v>394</v>
      </c>
      <c r="E172" s="8" t="s">
        <v>549</v>
      </c>
      <c r="F172" s="8" t="s">
        <v>549</v>
      </c>
      <c r="G172" s="8" t="s">
        <v>550</v>
      </c>
      <c r="H172" s="9">
        <v>5176</v>
      </c>
      <c r="I172" s="9">
        <v>1497.69</v>
      </c>
      <c r="L172" s="8" t="s">
        <v>119</v>
      </c>
      <c r="M172" s="8" t="s">
        <v>38</v>
      </c>
      <c r="N172" s="8" t="s">
        <v>29</v>
      </c>
      <c r="O172" s="8" t="s">
        <v>14</v>
      </c>
      <c r="P172" s="8" t="s">
        <v>30</v>
      </c>
      <c r="Q172" s="8" t="s">
        <v>549</v>
      </c>
      <c r="R172" s="8" t="s">
        <v>33</v>
      </c>
      <c r="S172" s="8" t="s">
        <v>530</v>
      </c>
      <c r="T172" s="8" t="s">
        <v>31</v>
      </c>
      <c r="U172" s="8" t="s">
        <v>32</v>
      </c>
      <c r="V172" s="8" t="s">
        <v>32</v>
      </c>
      <c r="W172" s="8" t="s">
        <v>33</v>
      </c>
      <c r="X172" s="8" t="s">
        <v>33</v>
      </c>
      <c r="Y172" s="8" t="s">
        <v>33</v>
      </c>
      <c r="Z172" s="8" t="s">
        <v>33</v>
      </c>
      <c r="AA172" s="8" t="s">
        <v>33</v>
      </c>
      <c r="AB172" s="8" t="s">
        <v>32</v>
      </c>
      <c r="AC172" s="8" t="s">
        <v>33</v>
      </c>
      <c r="AD172" s="8" t="s">
        <v>32</v>
      </c>
      <c r="AE172" s="8" t="s">
        <v>32</v>
      </c>
      <c r="AF172" s="4">
        <f t="shared" si="4"/>
        <v>5176</v>
      </c>
      <c r="AG172" s="4">
        <f t="shared" si="5"/>
        <v>1497.69</v>
      </c>
      <c r="AH172" s="5" t="s">
        <v>184</v>
      </c>
      <c r="AI172" s="11" t="s">
        <v>551</v>
      </c>
      <c r="AJ172" s="11" t="s">
        <v>541</v>
      </c>
      <c r="AK172" s="11" t="s">
        <v>237</v>
      </c>
    </row>
    <row r="173" spans="1:37" x14ac:dyDescent="0.3">
      <c r="A173" s="8" t="s">
        <v>83</v>
      </c>
      <c r="B173" s="8" t="s">
        <v>84</v>
      </c>
      <c r="C173" s="7">
        <v>45314</v>
      </c>
      <c r="D173" s="8" t="s">
        <v>395</v>
      </c>
      <c r="E173" s="8" t="s">
        <v>549</v>
      </c>
      <c r="F173" s="8" t="s">
        <v>549</v>
      </c>
      <c r="G173" s="8" t="s">
        <v>550</v>
      </c>
      <c r="H173" s="9">
        <v>1713</v>
      </c>
      <c r="I173" s="9">
        <v>495.66</v>
      </c>
      <c r="L173" s="8" t="s">
        <v>105</v>
      </c>
      <c r="M173" s="8" t="s">
        <v>34</v>
      </c>
      <c r="N173" s="8" t="s">
        <v>41</v>
      </c>
      <c r="O173" s="8" t="s">
        <v>14</v>
      </c>
      <c r="P173" s="8" t="s">
        <v>42</v>
      </c>
      <c r="Q173" s="8" t="s">
        <v>549</v>
      </c>
      <c r="R173" s="8" t="s">
        <v>33</v>
      </c>
      <c r="S173" s="8" t="s">
        <v>530</v>
      </c>
      <c r="T173" s="8" t="s">
        <v>80</v>
      </c>
      <c r="U173" s="8" t="s">
        <v>32</v>
      </c>
      <c r="V173" s="8" t="s">
        <v>32</v>
      </c>
      <c r="W173" s="8" t="s">
        <v>33</v>
      </c>
      <c r="X173" s="8" t="s">
        <v>33</v>
      </c>
      <c r="Y173" s="8" t="s">
        <v>33</v>
      </c>
      <c r="Z173" s="8" t="s">
        <v>33</v>
      </c>
      <c r="AA173" s="8" t="s">
        <v>33</v>
      </c>
      <c r="AB173" s="8" t="s">
        <v>32</v>
      </c>
      <c r="AC173" s="8" t="s">
        <v>33</v>
      </c>
      <c r="AD173" s="8" t="s">
        <v>32</v>
      </c>
      <c r="AE173" s="8" t="s">
        <v>32</v>
      </c>
      <c r="AF173" s="4">
        <f t="shared" si="4"/>
        <v>1713</v>
      </c>
      <c r="AG173" s="4">
        <f t="shared" si="5"/>
        <v>495.66</v>
      </c>
      <c r="AH173" s="5" t="s">
        <v>185</v>
      </c>
      <c r="AI173" s="11" t="s">
        <v>213</v>
      </c>
      <c r="AJ173" s="11" t="s">
        <v>209</v>
      </c>
      <c r="AK173" s="11" t="s">
        <v>235</v>
      </c>
    </row>
    <row r="174" spans="1:37" x14ac:dyDescent="0.3">
      <c r="A174" s="8" t="s">
        <v>83</v>
      </c>
      <c r="B174" s="8" t="s">
        <v>84</v>
      </c>
      <c r="C174" s="7">
        <v>45314</v>
      </c>
      <c r="D174" s="8" t="s">
        <v>396</v>
      </c>
      <c r="E174" s="8" t="s">
        <v>549</v>
      </c>
      <c r="F174" s="8" t="s">
        <v>549</v>
      </c>
      <c r="G174" s="8" t="s">
        <v>550</v>
      </c>
      <c r="H174" s="9">
        <v>774</v>
      </c>
      <c r="I174" s="9">
        <v>223.96</v>
      </c>
      <c r="L174" s="8" t="s">
        <v>76</v>
      </c>
      <c r="M174" s="8" t="s">
        <v>34</v>
      </c>
      <c r="N174" s="8" t="s">
        <v>41</v>
      </c>
      <c r="O174" s="8" t="s">
        <v>14</v>
      </c>
      <c r="P174" s="8" t="s">
        <v>42</v>
      </c>
      <c r="Q174" s="8" t="s">
        <v>549</v>
      </c>
      <c r="R174" s="8" t="s">
        <v>33</v>
      </c>
      <c r="S174" s="8" t="s">
        <v>530</v>
      </c>
      <c r="T174" s="8" t="s">
        <v>80</v>
      </c>
      <c r="U174" s="8" t="s">
        <v>32</v>
      </c>
      <c r="V174" s="8" t="s">
        <v>32</v>
      </c>
      <c r="W174" s="8" t="s">
        <v>33</v>
      </c>
      <c r="X174" s="8" t="s">
        <v>33</v>
      </c>
      <c r="Y174" s="8" t="s">
        <v>33</v>
      </c>
      <c r="Z174" s="8" t="s">
        <v>33</v>
      </c>
      <c r="AA174" s="8" t="s">
        <v>33</v>
      </c>
      <c r="AB174" s="8" t="s">
        <v>32</v>
      </c>
      <c r="AC174" s="8" t="s">
        <v>33</v>
      </c>
      <c r="AD174" s="8" t="s">
        <v>32</v>
      </c>
      <c r="AE174" s="8" t="s">
        <v>32</v>
      </c>
      <c r="AF174" s="4">
        <f t="shared" si="4"/>
        <v>774</v>
      </c>
      <c r="AG174" s="4">
        <f t="shared" si="5"/>
        <v>223.96</v>
      </c>
      <c r="AH174" s="5" t="s">
        <v>185</v>
      </c>
      <c r="AI174" s="11" t="s">
        <v>213</v>
      </c>
      <c r="AJ174" s="11" t="s">
        <v>205</v>
      </c>
      <c r="AK174" s="11" t="s">
        <v>235</v>
      </c>
    </row>
    <row r="175" spans="1:37" x14ac:dyDescent="0.3">
      <c r="A175" s="8" t="s">
        <v>83</v>
      </c>
      <c r="B175" s="8" t="s">
        <v>84</v>
      </c>
      <c r="C175" s="7">
        <v>45314</v>
      </c>
      <c r="D175" s="8" t="s">
        <v>397</v>
      </c>
      <c r="E175" s="8" t="s">
        <v>549</v>
      </c>
      <c r="F175" s="8" t="s">
        <v>549</v>
      </c>
      <c r="G175" s="8" t="s">
        <v>550</v>
      </c>
      <c r="H175" s="9">
        <v>6747</v>
      </c>
      <c r="I175" s="9">
        <v>1952.26</v>
      </c>
      <c r="L175" s="8" t="s">
        <v>76</v>
      </c>
      <c r="M175" s="8" t="s">
        <v>34</v>
      </c>
      <c r="N175" s="8" t="s">
        <v>41</v>
      </c>
      <c r="O175" s="8" t="s">
        <v>14</v>
      </c>
      <c r="P175" s="8" t="s">
        <v>42</v>
      </c>
      <c r="Q175" s="8" t="s">
        <v>549</v>
      </c>
      <c r="R175" s="8" t="s">
        <v>33</v>
      </c>
      <c r="S175" s="8" t="s">
        <v>530</v>
      </c>
      <c r="T175" s="8" t="s">
        <v>80</v>
      </c>
      <c r="U175" s="8" t="s">
        <v>32</v>
      </c>
      <c r="V175" s="8" t="s">
        <v>32</v>
      </c>
      <c r="W175" s="8" t="s">
        <v>33</v>
      </c>
      <c r="X175" s="8" t="s">
        <v>33</v>
      </c>
      <c r="Y175" s="8" t="s">
        <v>33</v>
      </c>
      <c r="Z175" s="8" t="s">
        <v>33</v>
      </c>
      <c r="AA175" s="8" t="s">
        <v>33</v>
      </c>
      <c r="AB175" s="8" t="s">
        <v>32</v>
      </c>
      <c r="AC175" s="8" t="s">
        <v>33</v>
      </c>
      <c r="AD175" s="8" t="s">
        <v>32</v>
      </c>
      <c r="AE175" s="8" t="s">
        <v>32</v>
      </c>
      <c r="AF175" s="4">
        <f t="shared" si="4"/>
        <v>6747</v>
      </c>
      <c r="AG175" s="4">
        <f t="shared" si="5"/>
        <v>1952.26</v>
      </c>
      <c r="AH175" s="5" t="s">
        <v>185</v>
      </c>
      <c r="AI175" s="11" t="s">
        <v>213</v>
      </c>
      <c r="AJ175" s="11" t="s">
        <v>205</v>
      </c>
      <c r="AK175" s="11" t="s">
        <v>235</v>
      </c>
    </row>
    <row r="176" spans="1:37" x14ac:dyDescent="0.3">
      <c r="A176" s="8" t="s">
        <v>83</v>
      </c>
      <c r="B176" s="8" t="s">
        <v>84</v>
      </c>
      <c r="C176" s="7">
        <v>45314</v>
      </c>
      <c r="D176" s="8" t="s">
        <v>398</v>
      </c>
      <c r="E176" s="8" t="s">
        <v>549</v>
      </c>
      <c r="F176" s="8" t="s">
        <v>549</v>
      </c>
      <c r="G176" s="8" t="s">
        <v>550</v>
      </c>
      <c r="H176" s="9">
        <v>2572</v>
      </c>
      <c r="I176" s="9">
        <v>744.21</v>
      </c>
      <c r="L176" s="8" t="s">
        <v>105</v>
      </c>
      <c r="M176" s="8" t="s">
        <v>34</v>
      </c>
      <c r="N176" s="8" t="s">
        <v>41</v>
      </c>
      <c r="O176" s="8" t="s">
        <v>14</v>
      </c>
      <c r="P176" s="8" t="s">
        <v>42</v>
      </c>
      <c r="Q176" s="8" t="s">
        <v>549</v>
      </c>
      <c r="R176" s="8" t="s">
        <v>33</v>
      </c>
      <c r="S176" s="8" t="s">
        <v>530</v>
      </c>
      <c r="T176" s="8" t="s">
        <v>80</v>
      </c>
      <c r="U176" s="8" t="s">
        <v>32</v>
      </c>
      <c r="V176" s="8" t="s">
        <v>32</v>
      </c>
      <c r="W176" s="8" t="s">
        <v>33</v>
      </c>
      <c r="X176" s="8" t="s">
        <v>33</v>
      </c>
      <c r="Y176" s="8" t="s">
        <v>33</v>
      </c>
      <c r="Z176" s="8" t="s">
        <v>33</v>
      </c>
      <c r="AA176" s="8" t="s">
        <v>33</v>
      </c>
      <c r="AB176" s="8" t="s">
        <v>32</v>
      </c>
      <c r="AC176" s="8" t="s">
        <v>33</v>
      </c>
      <c r="AD176" s="8" t="s">
        <v>32</v>
      </c>
      <c r="AE176" s="8" t="s">
        <v>32</v>
      </c>
      <c r="AF176" s="4">
        <f t="shared" si="4"/>
        <v>2572</v>
      </c>
      <c r="AG176" s="4">
        <f t="shared" si="5"/>
        <v>744.21</v>
      </c>
      <c r="AH176" s="5" t="s">
        <v>185</v>
      </c>
      <c r="AI176" s="11" t="s">
        <v>213</v>
      </c>
      <c r="AJ176" s="11" t="s">
        <v>209</v>
      </c>
      <c r="AK176" s="11" t="s">
        <v>235</v>
      </c>
    </row>
    <row r="177" spans="1:37" x14ac:dyDescent="0.3">
      <c r="A177" s="8" t="s">
        <v>117</v>
      </c>
      <c r="B177" s="8" t="s">
        <v>118</v>
      </c>
      <c r="C177" s="7">
        <v>45314</v>
      </c>
      <c r="D177" s="8" t="s">
        <v>399</v>
      </c>
      <c r="E177" s="8" t="s">
        <v>549</v>
      </c>
      <c r="F177" s="8" t="s">
        <v>549</v>
      </c>
      <c r="G177" s="8" t="s">
        <v>550</v>
      </c>
      <c r="H177" s="9">
        <v>6054</v>
      </c>
      <c r="I177" s="9">
        <v>1751.74</v>
      </c>
      <c r="L177" s="8" t="s">
        <v>93</v>
      </c>
      <c r="M177" s="8" t="s">
        <v>34</v>
      </c>
      <c r="N177" s="8" t="s">
        <v>29</v>
      </c>
      <c r="O177" s="8" t="s">
        <v>14</v>
      </c>
      <c r="P177" s="8" t="s">
        <v>30</v>
      </c>
      <c r="Q177" s="8" t="s">
        <v>549</v>
      </c>
      <c r="R177" s="8" t="s">
        <v>33</v>
      </c>
      <c r="S177" s="8" t="s">
        <v>530</v>
      </c>
      <c r="T177" s="8" t="s">
        <v>31</v>
      </c>
      <c r="U177" s="8" t="s">
        <v>32</v>
      </c>
      <c r="V177" s="8" t="s">
        <v>32</v>
      </c>
      <c r="W177" s="8" t="s">
        <v>33</v>
      </c>
      <c r="X177" s="8" t="s">
        <v>33</v>
      </c>
      <c r="Y177" s="8" t="s">
        <v>33</v>
      </c>
      <c r="Z177" s="8" t="s">
        <v>33</v>
      </c>
      <c r="AA177" s="8" t="s">
        <v>33</v>
      </c>
      <c r="AB177" s="8" t="s">
        <v>32</v>
      </c>
      <c r="AC177" s="8" t="s">
        <v>33</v>
      </c>
      <c r="AD177" s="8" t="s">
        <v>32</v>
      </c>
      <c r="AE177" s="8" t="s">
        <v>32</v>
      </c>
      <c r="AF177" s="4">
        <f t="shared" si="4"/>
        <v>6054</v>
      </c>
      <c r="AG177" s="4">
        <f t="shared" si="5"/>
        <v>1751.74</v>
      </c>
      <c r="AH177" s="5" t="s">
        <v>185</v>
      </c>
      <c r="AI177" s="11" t="s">
        <v>214</v>
      </c>
      <c r="AJ177" s="11" t="s">
        <v>206</v>
      </c>
      <c r="AK177" s="11" t="s">
        <v>235</v>
      </c>
    </row>
    <row r="178" spans="1:37" x14ac:dyDescent="0.3">
      <c r="A178" s="8" t="s">
        <v>162</v>
      </c>
      <c r="B178" s="8" t="s">
        <v>163</v>
      </c>
      <c r="C178" s="7">
        <v>45314</v>
      </c>
      <c r="D178" s="8" t="s">
        <v>400</v>
      </c>
      <c r="E178" s="8" t="s">
        <v>549</v>
      </c>
      <c r="F178" s="8" t="s">
        <v>549</v>
      </c>
      <c r="G178" s="8" t="s">
        <v>550</v>
      </c>
      <c r="H178" s="9">
        <v>4978</v>
      </c>
      <c r="I178" s="9">
        <v>1440.39</v>
      </c>
      <c r="L178" s="8" t="s">
        <v>106</v>
      </c>
      <c r="M178" s="8" t="s">
        <v>34</v>
      </c>
      <c r="N178" s="8" t="s">
        <v>29</v>
      </c>
      <c r="O178" s="8" t="s">
        <v>14</v>
      </c>
      <c r="P178" s="8" t="s">
        <v>30</v>
      </c>
      <c r="Q178" s="8" t="s">
        <v>549</v>
      </c>
      <c r="R178" s="8" t="s">
        <v>33</v>
      </c>
      <c r="S178" s="8" t="s">
        <v>530</v>
      </c>
      <c r="T178" s="8" t="s">
        <v>31</v>
      </c>
      <c r="U178" s="8" t="s">
        <v>32</v>
      </c>
      <c r="V178" s="8" t="s">
        <v>32</v>
      </c>
      <c r="W178" s="8" t="s">
        <v>33</v>
      </c>
      <c r="X178" s="8" t="s">
        <v>33</v>
      </c>
      <c r="Y178" s="8" t="s">
        <v>33</v>
      </c>
      <c r="Z178" s="8" t="s">
        <v>33</v>
      </c>
      <c r="AA178" s="8" t="s">
        <v>33</v>
      </c>
      <c r="AB178" s="8" t="s">
        <v>32</v>
      </c>
      <c r="AC178" s="8" t="s">
        <v>33</v>
      </c>
      <c r="AD178" s="8" t="s">
        <v>32</v>
      </c>
      <c r="AE178" s="8" t="s">
        <v>32</v>
      </c>
      <c r="AF178" s="4">
        <f t="shared" si="4"/>
        <v>4978</v>
      </c>
      <c r="AG178" s="4">
        <f t="shared" si="5"/>
        <v>1440.39</v>
      </c>
      <c r="AH178" s="5" t="s">
        <v>185</v>
      </c>
      <c r="AI178" s="11" t="s">
        <v>215</v>
      </c>
      <c r="AJ178" s="11" t="s">
        <v>210</v>
      </c>
      <c r="AK178" s="11" t="s">
        <v>235</v>
      </c>
    </row>
    <row r="179" spans="1:37" x14ac:dyDescent="0.3">
      <c r="A179" s="8" t="s">
        <v>162</v>
      </c>
      <c r="B179" s="8" t="s">
        <v>163</v>
      </c>
      <c r="C179" s="7">
        <v>45314</v>
      </c>
      <c r="D179" s="8" t="s">
        <v>401</v>
      </c>
      <c r="E179" s="8" t="s">
        <v>549</v>
      </c>
      <c r="F179" s="8" t="s">
        <v>549</v>
      </c>
      <c r="G179" s="8" t="s">
        <v>550</v>
      </c>
      <c r="H179" s="9">
        <v>942</v>
      </c>
      <c r="I179" s="9">
        <v>272.57</v>
      </c>
      <c r="L179" s="8" t="s">
        <v>106</v>
      </c>
      <c r="M179" s="8" t="s">
        <v>34</v>
      </c>
      <c r="N179" s="8" t="s">
        <v>29</v>
      </c>
      <c r="O179" s="8" t="s">
        <v>14</v>
      </c>
      <c r="P179" s="8" t="s">
        <v>30</v>
      </c>
      <c r="Q179" s="8" t="s">
        <v>549</v>
      </c>
      <c r="R179" s="8" t="s">
        <v>33</v>
      </c>
      <c r="S179" s="8" t="s">
        <v>530</v>
      </c>
      <c r="T179" s="8" t="s">
        <v>31</v>
      </c>
      <c r="U179" s="8" t="s">
        <v>32</v>
      </c>
      <c r="V179" s="8" t="s">
        <v>32</v>
      </c>
      <c r="W179" s="8" t="s">
        <v>33</v>
      </c>
      <c r="X179" s="8" t="s">
        <v>33</v>
      </c>
      <c r="Y179" s="8" t="s">
        <v>33</v>
      </c>
      <c r="Z179" s="8" t="s">
        <v>33</v>
      </c>
      <c r="AA179" s="8" t="s">
        <v>33</v>
      </c>
      <c r="AB179" s="8" t="s">
        <v>32</v>
      </c>
      <c r="AC179" s="8" t="s">
        <v>33</v>
      </c>
      <c r="AD179" s="8" t="s">
        <v>32</v>
      </c>
      <c r="AE179" s="8" t="s">
        <v>32</v>
      </c>
      <c r="AF179" s="4">
        <f t="shared" si="4"/>
        <v>942</v>
      </c>
      <c r="AG179" s="4">
        <f t="shared" si="5"/>
        <v>272.57</v>
      </c>
      <c r="AH179" s="5" t="s">
        <v>185</v>
      </c>
      <c r="AI179" s="11" t="s">
        <v>215</v>
      </c>
      <c r="AJ179" s="11" t="s">
        <v>210</v>
      </c>
      <c r="AK179" s="11" t="s">
        <v>235</v>
      </c>
    </row>
    <row r="180" spans="1:37" x14ac:dyDescent="0.3">
      <c r="A180" s="8" t="s">
        <v>136</v>
      </c>
      <c r="B180" s="8" t="s">
        <v>137</v>
      </c>
      <c r="C180" s="7">
        <v>45314</v>
      </c>
      <c r="D180" s="8" t="s">
        <v>402</v>
      </c>
      <c r="E180" s="8" t="s">
        <v>549</v>
      </c>
      <c r="F180" s="8" t="s">
        <v>549</v>
      </c>
      <c r="G180" s="8" t="s">
        <v>550</v>
      </c>
      <c r="H180" s="9">
        <v>8134</v>
      </c>
      <c r="I180" s="9">
        <v>2353.59</v>
      </c>
      <c r="L180" s="8" t="s">
        <v>77</v>
      </c>
      <c r="M180" s="8" t="s">
        <v>34</v>
      </c>
      <c r="N180" s="8" t="s">
        <v>29</v>
      </c>
      <c r="O180" s="8" t="s">
        <v>14</v>
      </c>
      <c r="P180" s="8" t="s">
        <v>30</v>
      </c>
      <c r="Q180" s="8" t="s">
        <v>549</v>
      </c>
      <c r="R180" s="8" t="s">
        <v>33</v>
      </c>
      <c r="S180" s="8" t="s">
        <v>530</v>
      </c>
      <c r="T180" s="8" t="s">
        <v>31</v>
      </c>
      <c r="U180" s="8" t="s">
        <v>32</v>
      </c>
      <c r="V180" s="8" t="s">
        <v>32</v>
      </c>
      <c r="W180" s="8" t="s">
        <v>33</v>
      </c>
      <c r="X180" s="8" t="s">
        <v>33</v>
      </c>
      <c r="Y180" s="8" t="s">
        <v>33</v>
      </c>
      <c r="Z180" s="8" t="s">
        <v>33</v>
      </c>
      <c r="AA180" s="8" t="s">
        <v>33</v>
      </c>
      <c r="AB180" s="8" t="s">
        <v>32</v>
      </c>
      <c r="AC180" s="8" t="s">
        <v>33</v>
      </c>
      <c r="AD180" s="8" t="s">
        <v>32</v>
      </c>
      <c r="AE180" s="8" t="s">
        <v>32</v>
      </c>
      <c r="AF180" s="4">
        <f t="shared" si="4"/>
        <v>8134</v>
      </c>
      <c r="AG180" s="4">
        <f t="shared" si="5"/>
        <v>2353.59</v>
      </c>
      <c r="AH180" s="5" t="s">
        <v>185</v>
      </c>
      <c r="AI180" s="11" t="s">
        <v>217</v>
      </c>
      <c r="AJ180" s="11" t="s">
        <v>211</v>
      </c>
      <c r="AK180" s="11" t="s">
        <v>235</v>
      </c>
    </row>
    <row r="181" spans="1:37" x14ac:dyDescent="0.3">
      <c r="A181" s="8" t="s">
        <v>150</v>
      </c>
      <c r="B181" s="8" t="s">
        <v>151</v>
      </c>
      <c r="C181" s="7">
        <v>45314</v>
      </c>
      <c r="D181" s="8" t="s">
        <v>403</v>
      </c>
      <c r="E181" s="8" t="s">
        <v>549</v>
      </c>
      <c r="F181" s="8" t="s">
        <v>549</v>
      </c>
      <c r="G181" s="8" t="s">
        <v>550</v>
      </c>
      <c r="H181" s="9">
        <v>8992</v>
      </c>
      <c r="I181" s="9">
        <v>2601.85</v>
      </c>
      <c r="L181" s="8" t="s">
        <v>119</v>
      </c>
      <c r="M181" s="8" t="s">
        <v>34</v>
      </c>
      <c r="N181" s="8" t="s">
        <v>29</v>
      </c>
      <c r="O181" s="8" t="s">
        <v>14</v>
      </c>
      <c r="P181" s="8" t="s">
        <v>30</v>
      </c>
      <c r="Q181" s="8" t="s">
        <v>549</v>
      </c>
      <c r="R181" s="8" t="s">
        <v>33</v>
      </c>
      <c r="S181" s="8" t="s">
        <v>530</v>
      </c>
      <c r="T181" s="8" t="s">
        <v>31</v>
      </c>
      <c r="U181" s="8" t="s">
        <v>32</v>
      </c>
      <c r="V181" s="8" t="s">
        <v>32</v>
      </c>
      <c r="W181" s="8" t="s">
        <v>33</v>
      </c>
      <c r="X181" s="8" t="s">
        <v>33</v>
      </c>
      <c r="Y181" s="8" t="s">
        <v>33</v>
      </c>
      <c r="Z181" s="8" t="s">
        <v>33</v>
      </c>
      <c r="AA181" s="8" t="s">
        <v>33</v>
      </c>
      <c r="AB181" s="8" t="s">
        <v>32</v>
      </c>
      <c r="AC181" s="8" t="s">
        <v>33</v>
      </c>
      <c r="AD181" s="8" t="s">
        <v>32</v>
      </c>
      <c r="AE181" s="8" t="s">
        <v>32</v>
      </c>
      <c r="AF181" s="4">
        <f t="shared" si="4"/>
        <v>8992</v>
      </c>
      <c r="AG181" s="4">
        <f t="shared" si="5"/>
        <v>2601.85</v>
      </c>
      <c r="AH181" s="5" t="s">
        <v>184</v>
      </c>
      <c r="AI181" s="11" t="s">
        <v>551</v>
      </c>
      <c r="AJ181" s="11" t="s">
        <v>541</v>
      </c>
      <c r="AK181" s="11" t="s">
        <v>237</v>
      </c>
    </row>
    <row r="182" spans="1:37" x14ac:dyDescent="0.3">
      <c r="A182" s="8" t="s">
        <v>150</v>
      </c>
      <c r="B182" s="8" t="s">
        <v>151</v>
      </c>
      <c r="C182" s="7">
        <v>45314</v>
      </c>
      <c r="D182" s="8" t="s">
        <v>403</v>
      </c>
      <c r="E182" s="8" t="s">
        <v>549</v>
      </c>
      <c r="F182" s="8" t="s">
        <v>549</v>
      </c>
      <c r="G182" s="8" t="s">
        <v>550</v>
      </c>
      <c r="H182" s="9">
        <v>2644</v>
      </c>
      <c r="I182" s="9">
        <v>765.05</v>
      </c>
      <c r="L182" s="8" t="s">
        <v>119</v>
      </c>
      <c r="M182" s="8" t="s">
        <v>38</v>
      </c>
      <c r="N182" s="8" t="s">
        <v>29</v>
      </c>
      <c r="O182" s="8" t="s">
        <v>14</v>
      </c>
      <c r="P182" s="8" t="s">
        <v>30</v>
      </c>
      <c r="Q182" s="8" t="s">
        <v>549</v>
      </c>
      <c r="R182" s="8" t="s">
        <v>33</v>
      </c>
      <c r="S182" s="8" t="s">
        <v>530</v>
      </c>
      <c r="T182" s="8" t="s">
        <v>31</v>
      </c>
      <c r="U182" s="8" t="s">
        <v>32</v>
      </c>
      <c r="V182" s="8" t="s">
        <v>32</v>
      </c>
      <c r="W182" s="8" t="s">
        <v>33</v>
      </c>
      <c r="X182" s="8" t="s">
        <v>33</v>
      </c>
      <c r="Y182" s="8" t="s">
        <v>33</v>
      </c>
      <c r="Z182" s="8" t="s">
        <v>33</v>
      </c>
      <c r="AA182" s="8" t="s">
        <v>33</v>
      </c>
      <c r="AB182" s="8" t="s">
        <v>32</v>
      </c>
      <c r="AC182" s="8" t="s">
        <v>33</v>
      </c>
      <c r="AD182" s="8" t="s">
        <v>32</v>
      </c>
      <c r="AE182" s="8" t="s">
        <v>32</v>
      </c>
      <c r="AF182" s="4">
        <f t="shared" si="4"/>
        <v>2644</v>
      </c>
      <c r="AG182" s="4">
        <f t="shared" si="5"/>
        <v>765.05</v>
      </c>
      <c r="AH182" s="5" t="s">
        <v>184</v>
      </c>
      <c r="AI182" s="11" t="s">
        <v>551</v>
      </c>
      <c r="AJ182" s="11" t="s">
        <v>541</v>
      </c>
      <c r="AK182" s="11" t="s">
        <v>237</v>
      </c>
    </row>
    <row r="183" spans="1:37" x14ac:dyDescent="0.3">
      <c r="A183" s="8" t="s">
        <v>150</v>
      </c>
      <c r="B183" s="8" t="s">
        <v>151</v>
      </c>
      <c r="C183" s="7">
        <v>45314</v>
      </c>
      <c r="D183" s="8" t="s">
        <v>404</v>
      </c>
      <c r="E183" s="8" t="s">
        <v>549</v>
      </c>
      <c r="F183" s="8" t="s">
        <v>549</v>
      </c>
      <c r="G183" s="8" t="s">
        <v>550</v>
      </c>
      <c r="H183" s="9">
        <v>7025</v>
      </c>
      <c r="I183" s="9">
        <v>2032.7</v>
      </c>
      <c r="L183" s="8" t="s">
        <v>119</v>
      </c>
      <c r="M183" s="8" t="s">
        <v>34</v>
      </c>
      <c r="N183" s="8" t="s">
        <v>29</v>
      </c>
      <c r="O183" s="8" t="s">
        <v>14</v>
      </c>
      <c r="P183" s="8" t="s">
        <v>30</v>
      </c>
      <c r="Q183" s="8" t="s">
        <v>549</v>
      </c>
      <c r="R183" s="8" t="s">
        <v>33</v>
      </c>
      <c r="S183" s="8" t="s">
        <v>530</v>
      </c>
      <c r="T183" s="8" t="s">
        <v>31</v>
      </c>
      <c r="U183" s="8" t="s">
        <v>32</v>
      </c>
      <c r="V183" s="8" t="s">
        <v>32</v>
      </c>
      <c r="W183" s="8" t="s">
        <v>33</v>
      </c>
      <c r="X183" s="8" t="s">
        <v>33</v>
      </c>
      <c r="Y183" s="8" t="s">
        <v>33</v>
      </c>
      <c r="Z183" s="8" t="s">
        <v>33</v>
      </c>
      <c r="AA183" s="8" t="s">
        <v>33</v>
      </c>
      <c r="AB183" s="8" t="s">
        <v>32</v>
      </c>
      <c r="AC183" s="8" t="s">
        <v>33</v>
      </c>
      <c r="AD183" s="8" t="s">
        <v>32</v>
      </c>
      <c r="AE183" s="8" t="s">
        <v>32</v>
      </c>
      <c r="AF183" s="4">
        <f t="shared" si="4"/>
        <v>7025</v>
      </c>
      <c r="AG183" s="4">
        <f t="shared" si="5"/>
        <v>2032.7</v>
      </c>
      <c r="AH183" s="5" t="s">
        <v>184</v>
      </c>
      <c r="AI183" s="11" t="s">
        <v>551</v>
      </c>
      <c r="AJ183" s="11" t="s">
        <v>541</v>
      </c>
      <c r="AK183" s="11" t="s">
        <v>237</v>
      </c>
    </row>
    <row r="184" spans="1:37" x14ac:dyDescent="0.3">
      <c r="A184" s="8" t="s">
        <v>150</v>
      </c>
      <c r="B184" s="8" t="s">
        <v>151</v>
      </c>
      <c r="C184" s="7">
        <v>45314</v>
      </c>
      <c r="D184" s="8" t="s">
        <v>404</v>
      </c>
      <c r="E184" s="8" t="s">
        <v>549</v>
      </c>
      <c r="F184" s="8" t="s">
        <v>549</v>
      </c>
      <c r="G184" s="8" t="s">
        <v>550</v>
      </c>
      <c r="H184" s="9">
        <v>1320</v>
      </c>
      <c r="I184" s="9">
        <v>381.94</v>
      </c>
      <c r="L184" s="8" t="s">
        <v>119</v>
      </c>
      <c r="M184" s="8" t="s">
        <v>38</v>
      </c>
      <c r="N184" s="8" t="s">
        <v>29</v>
      </c>
      <c r="O184" s="8" t="s">
        <v>14</v>
      </c>
      <c r="P184" s="8" t="s">
        <v>30</v>
      </c>
      <c r="Q184" s="8" t="s">
        <v>549</v>
      </c>
      <c r="R184" s="8" t="s">
        <v>33</v>
      </c>
      <c r="S184" s="8" t="s">
        <v>530</v>
      </c>
      <c r="T184" s="8" t="s">
        <v>31</v>
      </c>
      <c r="U184" s="8" t="s">
        <v>32</v>
      </c>
      <c r="V184" s="8" t="s">
        <v>32</v>
      </c>
      <c r="W184" s="8" t="s">
        <v>33</v>
      </c>
      <c r="X184" s="8" t="s">
        <v>33</v>
      </c>
      <c r="Y184" s="8" t="s">
        <v>33</v>
      </c>
      <c r="Z184" s="8" t="s">
        <v>33</v>
      </c>
      <c r="AA184" s="8" t="s">
        <v>33</v>
      </c>
      <c r="AB184" s="8" t="s">
        <v>32</v>
      </c>
      <c r="AC184" s="8" t="s">
        <v>33</v>
      </c>
      <c r="AD184" s="8" t="s">
        <v>32</v>
      </c>
      <c r="AE184" s="8" t="s">
        <v>32</v>
      </c>
      <c r="AF184" s="4">
        <f t="shared" si="4"/>
        <v>1320</v>
      </c>
      <c r="AG184" s="4">
        <f t="shared" si="5"/>
        <v>381.94</v>
      </c>
      <c r="AH184" s="5" t="s">
        <v>184</v>
      </c>
      <c r="AI184" s="11" t="s">
        <v>551</v>
      </c>
      <c r="AJ184" s="11" t="s">
        <v>541</v>
      </c>
      <c r="AK184" s="11" t="s">
        <v>237</v>
      </c>
    </row>
    <row r="185" spans="1:37" x14ac:dyDescent="0.3">
      <c r="A185" s="8" t="s">
        <v>131</v>
      </c>
      <c r="B185" s="8" t="s">
        <v>132</v>
      </c>
      <c r="C185" s="7">
        <v>45314</v>
      </c>
      <c r="D185" s="8" t="s">
        <v>405</v>
      </c>
      <c r="E185" s="8" t="s">
        <v>549</v>
      </c>
      <c r="F185" s="8" t="s">
        <v>549</v>
      </c>
      <c r="G185" s="8" t="s">
        <v>550</v>
      </c>
      <c r="H185" s="9">
        <v>1387</v>
      </c>
      <c r="I185" s="9">
        <v>401.33</v>
      </c>
      <c r="L185" s="8" t="s">
        <v>79</v>
      </c>
      <c r="M185" s="8" t="s">
        <v>34</v>
      </c>
      <c r="N185" s="8" t="s">
        <v>29</v>
      </c>
      <c r="O185" s="8" t="s">
        <v>14</v>
      </c>
      <c r="P185" s="8" t="s">
        <v>30</v>
      </c>
      <c r="Q185" s="8" t="s">
        <v>549</v>
      </c>
      <c r="R185" s="8" t="s">
        <v>33</v>
      </c>
      <c r="S185" s="8" t="s">
        <v>530</v>
      </c>
      <c r="T185" s="8" t="s">
        <v>31</v>
      </c>
      <c r="U185" s="8" t="s">
        <v>32</v>
      </c>
      <c r="V185" s="8" t="s">
        <v>32</v>
      </c>
      <c r="W185" s="8" t="s">
        <v>33</v>
      </c>
      <c r="X185" s="8" t="s">
        <v>33</v>
      </c>
      <c r="Y185" s="8" t="s">
        <v>33</v>
      </c>
      <c r="Z185" s="8" t="s">
        <v>33</v>
      </c>
      <c r="AA185" s="8" t="s">
        <v>33</v>
      </c>
      <c r="AB185" s="8" t="s">
        <v>32</v>
      </c>
      <c r="AC185" s="8" t="s">
        <v>33</v>
      </c>
      <c r="AD185" s="8" t="s">
        <v>32</v>
      </c>
      <c r="AE185" s="8" t="s">
        <v>32</v>
      </c>
      <c r="AF185" s="4">
        <f t="shared" si="4"/>
        <v>1387</v>
      </c>
      <c r="AG185" s="4">
        <f t="shared" si="5"/>
        <v>401.33</v>
      </c>
      <c r="AH185" s="5" t="s">
        <v>185</v>
      </c>
      <c r="AI185" s="11" t="s">
        <v>219</v>
      </c>
      <c r="AJ185" s="11" t="s">
        <v>542</v>
      </c>
      <c r="AK185" s="11" t="s">
        <v>238</v>
      </c>
    </row>
    <row r="186" spans="1:37" x14ac:dyDescent="0.3">
      <c r="A186" s="8" t="s">
        <v>101</v>
      </c>
      <c r="B186" s="8" t="s">
        <v>102</v>
      </c>
      <c r="C186" s="7">
        <v>45314</v>
      </c>
      <c r="D186" s="8" t="s">
        <v>406</v>
      </c>
      <c r="E186" s="8" t="s">
        <v>549</v>
      </c>
      <c r="F186" s="8" t="s">
        <v>549</v>
      </c>
      <c r="G186" s="8" t="s">
        <v>550</v>
      </c>
      <c r="H186" s="9">
        <v>5573</v>
      </c>
      <c r="I186" s="9">
        <v>1612.56</v>
      </c>
      <c r="L186" s="8" t="s">
        <v>120</v>
      </c>
      <c r="M186" s="8" t="s">
        <v>34</v>
      </c>
      <c r="N186" s="8" t="s">
        <v>29</v>
      </c>
      <c r="O186" s="8" t="s">
        <v>14</v>
      </c>
      <c r="P186" s="8" t="s">
        <v>30</v>
      </c>
      <c r="Q186" s="8" t="s">
        <v>549</v>
      </c>
      <c r="R186" s="8" t="s">
        <v>33</v>
      </c>
      <c r="S186" s="8" t="s">
        <v>530</v>
      </c>
      <c r="T186" s="8" t="s">
        <v>31</v>
      </c>
      <c r="U186" s="8" t="s">
        <v>32</v>
      </c>
      <c r="V186" s="8" t="s">
        <v>32</v>
      </c>
      <c r="W186" s="8" t="s">
        <v>33</v>
      </c>
      <c r="X186" s="8" t="s">
        <v>33</v>
      </c>
      <c r="Y186" s="8" t="s">
        <v>33</v>
      </c>
      <c r="Z186" s="8" t="s">
        <v>33</v>
      </c>
      <c r="AA186" s="8" t="s">
        <v>33</v>
      </c>
      <c r="AB186" s="8" t="s">
        <v>32</v>
      </c>
      <c r="AC186" s="8" t="s">
        <v>33</v>
      </c>
      <c r="AD186" s="8" t="s">
        <v>32</v>
      </c>
      <c r="AE186" s="8" t="s">
        <v>32</v>
      </c>
      <c r="AF186" s="4">
        <f t="shared" si="4"/>
        <v>5573</v>
      </c>
      <c r="AG186" s="4">
        <f t="shared" si="5"/>
        <v>1612.56</v>
      </c>
      <c r="AH186" s="5" t="s">
        <v>184</v>
      </c>
      <c r="AI186" s="11" t="s">
        <v>223</v>
      </c>
      <c r="AJ186" s="11" t="s">
        <v>546</v>
      </c>
      <c r="AK186" s="11" t="s">
        <v>237</v>
      </c>
    </row>
    <row r="187" spans="1:37" x14ac:dyDescent="0.3">
      <c r="A187" s="8" t="s">
        <v>154</v>
      </c>
      <c r="B187" s="8" t="s">
        <v>155</v>
      </c>
      <c r="C187" s="7">
        <v>45314</v>
      </c>
      <c r="D187" s="8" t="s">
        <v>407</v>
      </c>
      <c r="E187" s="8" t="s">
        <v>549</v>
      </c>
      <c r="F187" s="8" t="s">
        <v>549</v>
      </c>
      <c r="G187" s="8" t="s">
        <v>550</v>
      </c>
      <c r="H187" s="9">
        <v>3334</v>
      </c>
      <c r="I187" s="9">
        <v>964.7</v>
      </c>
      <c r="L187" s="8" t="s">
        <v>196</v>
      </c>
      <c r="M187" s="8" t="s">
        <v>34</v>
      </c>
      <c r="N187" s="8" t="s">
        <v>29</v>
      </c>
      <c r="O187" s="8" t="s">
        <v>14</v>
      </c>
      <c r="P187" s="8" t="s">
        <v>30</v>
      </c>
      <c r="Q187" s="8" t="s">
        <v>549</v>
      </c>
      <c r="R187" s="8" t="s">
        <v>33</v>
      </c>
      <c r="S187" s="8" t="s">
        <v>530</v>
      </c>
      <c r="T187" s="8" t="s">
        <v>31</v>
      </c>
      <c r="U187" s="8" t="s">
        <v>32</v>
      </c>
      <c r="V187" s="8" t="s">
        <v>32</v>
      </c>
      <c r="W187" s="8" t="s">
        <v>33</v>
      </c>
      <c r="X187" s="8" t="s">
        <v>33</v>
      </c>
      <c r="Y187" s="8" t="s">
        <v>33</v>
      </c>
      <c r="Z187" s="8" t="s">
        <v>33</v>
      </c>
      <c r="AA187" s="8" t="s">
        <v>33</v>
      </c>
      <c r="AB187" s="8" t="s">
        <v>32</v>
      </c>
      <c r="AC187" s="8" t="s">
        <v>33</v>
      </c>
      <c r="AD187" s="8" t="s">
        <v>32</v>
      </c>
      <c r="AE187" s="8" t="s">
        <v>32</v>
      </c>
      <c r="AF187" s="4">
        <f t="shared" si="4"/>
        <v>3334</v>
      </c>
      <c r="AG187" s="4">
        <f t="shared" si="5"/>
        <v>964.7</v>
      </c>
      <c r="AH187" s="5" t="s">
        <v>185</v>
      </c>
      <c r="AI187" s="11" t="s">
        <v>555</v>
      </c>
      <c r="AJ187" s="11" t="s">
        <v>523</v>
      </c>
      <c r="AK187" s="11" t="s">
        <v>236</v>
      </c>
    </row>
    <row r="188" spans="1:37" x14ac:dyDescent="0.3">
      <c r="A188" s="8" t="s">
        <v>150</v>
      </c>
      <c r="B188" s="8" t="s">
        <v>151</v>
      </c>
      <c r="C188" s="7">
        <v>45314</v>
      </c>
      <c r="D188" s="8" t="s">
        <v>408</v>
      </c>
      <c r="E188" s="8" t="s">
        <v>549</v>
      </c>
      <c r="F188" s="8" t="s">
        <v>549</v>
      </c>
      <c r="G188" s="8" t="s">
        <v>550</v>
      </c>
      <c r="H188" s="9">
        <v>6065</v>
      </c>
      <c r="I188" s="9">
        <v>1754.92</v>
      </c>
      <c r="L188" s="8" t="s">
        <v>119</v>
      </c>
      <c r="M188" s="8" t="s">
        <v>38</v>
      </c>
      <c r="N188" s="8" t="s">
        <v>29</v>
      </c>
      <c r="O188" s="8" t="s">
        <v>14</v>
      </c>
      <c r="P188" s="8" t="s">
        <v>30</v>
      </c>
      <c r="Q188" s="8" t="s">
        <v>549</v>
      </c>
      <c r="R188" s="8" t="s">
        <v>33</v>
      </c>
      <c r="S188" s="8" t="s">
        <v>530</v>
      </c>
      <c r="T188" s="8" t="s">
        <v>31</v>
      </c>
      <c r="U188" s="8" t="s">
        <v>32</v>
      </c>
      <c r="V188" s="8" t="s">
        <v>32</v>
      </c>
      <c r="W188" s="8" t="s">
        <v>33</v>
      </c>
      <c r="X188" s="8" t="s">
        <v>33</v>
      </c>
      <c r="Y188" s="8" t="s">
        <v>33</v>
      </c>
      <c r="Z188" s="8" t="s">
        <v>33</v>
      </c>
      <c r="AA188" s="8" t="s">
        <v>33</v>
      </c>
      <c r="AB188" s="8" t="s">
        <v>32</v>
      </c>
      <c r="AC188" s="8" t="s">
        <v>33</v>
      </c>
      <c r="AD188" s="8" t="s">
        <v>32</v>
      </c>
      <c r="AE188" s="8" t="s">
        <v>32</v>
      </c>
      <c r="AF188" s="4">
        <f t="shared" si="4"/>
        <v>6065</v>
      </c>
      <c r="AG188" s="4">
        <f t="shared" si="5"/>
        <v>1754.92</v>
      </c>
      <c r="AH188" s="5" t="s">
        <v>184</v>
      </c>
      <c r="AI188" s="11" t="s">
        <v>551</v>
      </c>
      <c r="AJ188" s="11" t="s">
        <v>541</v>
      </c>
      <c r="AK188" s="11" t="s">
        <v>237</v>
      </c>
    </row>
    <row r="189" spans="1:37" x14ac:dyDescent="0.3">
      <c r="A189" s="8" t="s">
        <v>150</v>
      </c>
      <c r="B189" s="8" t="s">
        <v>151</v>
      </c>
      <c r="C189" s="7">
        <v>45314</v>
      </c>
      <c r="D189" s="8" t="s">
        <v>408</v>
      </c>
      <c r="E189" s="8" t="s">
        <v>549</v>
      </c>
      <c r="F189" s="8" t="s">
        <v>549</v>
      </c>
      <c r="G189" s="8" t="s">
        <v>550</v>
      </c>
      <c r="H189" s="9">
        <v>4898</v>
      </c>
      <c r="I189" s="9">
        <v>1417.25</v>
      </c>
      <c r="L189" s="8" t="s">
        <v>119</v>
      </c>
      <c r="M189" s="8" t="s">
        <v>39</v>
      </c>
      <c r="N189" s="8" t="s">
        <v>29</v>
      </c>
      <c r="O189" s="8" t="s">
        <v>14</v>
      </c>
      <c r="P189" s="8" t="s">
        <v>30</v>
      </c>
      <c r="Q189" s="8" t="s">
        <v>549</v>
      </c>
      <c r="R189" s="8" t="s">
        <v>33</v>
      </c>
      <c r="S189" s="8" t="s">
        <v>530</v>
      </c>
      <c r="T189" s="8" t="s">
        <v>31</v>
      </c>
      <c r="U189" s="8" t="s">
        <v>32</v>
      </c>
      <c r="V189" s="8" t="s">
        <v>32</v>
      </c>
      <c r="W189" s="8" t="s">
        <v>33</v>
      </c>
      <c r="X189" s="8" t="s">
        <v>33</v>
      </c>
      <c r="Y189" s="8" t="s">
        <v>33</v>
      </c>
      <c r="Z189" s="8" t="s">
        <v>33</v>
      </c>
      <c r="AA189" s="8" t="s">
        <v>33</v>
      </c>
      <c r="AB189" s="8" t="s">
        <v>32</v>
      </c>
      <c r="AC189" s="8" t="s">
        <v>33</v>
      </c>
      <c r="AD189" s="8" t="s">
        <v>32</v>
      </c>
      <c r="AE189" s="8" t="s">
        <v>32</v>
      </c>
      <c r="AF189" s="4">
        <f t="shared" si="4"/>
        <v>4898</v>
      </c>
      <c r="AG189" s="4">
        <f t="shared" si="5"/>
        <v>1417.25</v>
      </c>
      <c r="AH189" s="5" t="s">
        <v>184</v>
      </c>
      <c r="AI189" s="11" t="s">
        <v>551</v>
      </c>
      <c r="AJ189" s="11" t="s">
        <v>541</v>
      </c>
      <c r="AK189" s="11" t="s">
        <v>237</v>
      </c>
    </row>
    <row r="190" spans="1:37" x14ac:dyDescent="0.3">
      <c r="A190" s="8" t="s">
        <v>150</v>
      </c>
      <c r="B190" s="8" t="s">
        <v>151</v>
      </c>
      <c r="C190" s="7">
        <v>45314</v>
      </c>
      <c r="D190" s="8" t="s">
        <v>409</v>
      </c>
      <c r="E190" s="8" t="s">
        <v>549</v>
      </c>
      <c r="F190" s="8" t="s">
        <v>549</v>
      </c>
      <c r="G190" s="8" t="s">
        <v>550</v>
      </c>
      <c r="H190" s="9">
        <v>7502</v>
      </c>
      <c r="I190" s="9">
        <v>2170.7199999999998</v>
      </c>
      <c r="L190" s="8" t="s">
        <v>119</v>
      </c>
      <c r="M190" s="8" t="s">
        <v>34</v>
      </c>
      <c r="N190" s="8" t="s">
        <v>29</v>
      </c>
      <c r="O190" s="8" t="s">
        <v>14</v>
      </c>
      <c r="P190" s="8" t="s">
        <v>30</v>
      </c>
      <c r="Q190" s="8" t="s">
        <v>549</v>
      </c>
      <c r="R190" s="8" t="s">
        <v>33</v>
      </c>
      <c r="S190" s="8" t="s">
        <v>530</v>
      </c>
      <c r="T190" s="8" t="s">
        <v>31</v>
      </c>
      <c r="U190" s="8" t="s">
        <v>32</v>
      </c>
      <c r="V190" s="8" t="s">
        <v>32</v>
      </c>
      <c r="W190" s="8" t="s">
        <v>33</v>
      </c>
      <c r="X190" s="8" t="s">
        <v>33</v>
      </c>
      <c r="Y190" s="8" t="s">
        <v>33</v>
      </c>
      <c r="Z190" s="8" t="s">
        <v>33</v>
      </c>
      <c r="AA190" s="8" t="s">
        <v>33</v>
      </c>
      <c r="AB190" s="8" t="s">
        <v>32</v>
      </c>
      <c r="AC190" s="8" t="s">
        <v>33</v>
      </c>
      <c r="AD190" s="8" t="s">
        <v>32</v>
      </c>
      <c r="AE190" s="8" t="s">
        <v>32</v>
      </c>
      <c r="AF190" s="4">
        <f t="shared" si="4"/>
        <v>7502</v>
      </c>
      <c r="AG190" s="4">
        <f t="shared" si="5"/>
        <v>2170.7199999999998</v>
      </c>
      <c r="AH190" s="5" t="s">
        <v>184</v>
      </c>
      <c r="AI190" s="11" t="s">
        <v>551</v>
      </c>
      <c r="AJ190" s="11" t="s">
        <v>541</v>
      </c>
      <c r="AK190" s="11" t="s">
        <v>237</v>
      </c>
    </row>
    <row r="191" spans="1:37" x14ac:dyDescent="0.3">
      <c r="A191" s="8" t="s">
        <v>150</v>
      </c>
      <c r="B191" s="8" t="s">
        <v>151</v>
      </c>
      <c r="C191" s="7">
        <v>45314</v>
      </c>
      <c r="D191" s="8" t="s">
        <v>409</v>
      </c>
      <c r="E191" s="8" t="s">
        <v>549</v>
      </c>
      <c r="F191" s="8" t="s">
        <v>549</v>
      </c>
      <c r="G191" s="8" t="s">
        <v>550</v>
      </c>
      <c r="H191" s="9">
        <v>1980</v>
      </c>
      <c r="I191" s="9">
        <v>572.91999999999996</v>
      </c>
      <c r="L191" s="8" t="s">
        <v>119</v>
      </c>
      <c r="M191" s="8" t="s">
        <v>38</v>
      </c>
      <c r="N191" s="8" t="s">
        <v>29</v>
      </c>
      <c r="O191" s="8" t="s">
        <v>14</v>
      </c>
      <c r="P191" s="8" t="s">
        <v>30</v>
      </c>
      <c r="Q191" s="8" t="s">
        <v>549</v>
      </c>
      <c r="R191" s="8" t="s">
        <v>33</v>
      </c>
      <c r="S191" s="8" t="s">
        <v>530</v>
      </c>
      <c r="T191" s="8" t="s">
        <v>31</v>
      </c>
      <c r="U191" s="8" t="s">
        <v>32</v>
      </c>
      <c r="V191" s="8" t="s">
        <v>32</v>
      </c>
      <c r="W191" s="8" t="s">
        <v>33</v>
      </c>
      <c r="X191" s="8" t="s">
        <v>33</v>
      </c>
      <c r="Y191" s="8" t="s">
        <v>33</v>
      </c>
      <c r="Z191" s="8" t="s">
        <v>33</v>
      </c>
      <c r="AA191" s="8" t="s">
        <v>33</v>
      </c>
      <c r="AB191" s="8" t="s">
        <v>32</v>
      </c>
      <c r="AC191" s="8" t="s">
        <v>33</v>
      </c>
      <c r="AD191" s="8" t="s">
        <v>32</v>
      </c>
      <c r="AE191" s="8" t="s">
        <v>32</v>
      </c>
      <c r="AF191" s="4">
        <f t="shared" si="4"/>
        <v>1980</v>
      </c>
      <c r="AG191" s="4">
        <f t="shared" si="5"/>
        <v>572.91999999999996</v>
      </c>
      <c r="AH191" s="5" t="s">
        <v>184</v>
      </c>
      <c r="AI191" s="11" t="s">
        <v>551</v>
      </c>
      <c r="AJ191" s="11" t="s">
        <v>541</v>
      </c>
      <c r="AK191" s="11" t="s">
        <v>237</v>
      </c>
    </row>
    <row r="192" spans="1:37" x14ac:dyDescent="0.3">
      <c r="A192" s="8" t="s">
        <v>150</v>
      </c>
      <c r="B192" s="8" t="s">
        <v>151</v>
      </c>
      <c r="C192" s="7">
        <v>45314</v>
      </c>
      <c r="D192" s="8" t="s">
        <v>410</v>
      </c>
      <c r="E192" s="8" t="s">
        <v>549</v>
      </c>
      <c r="F192" s="8" t="s">
        <v>549</v>
      </c>
      <c r="G192" s="8" t="s">
        <v>550</v>
      </c>
      <c r="H192" s="9">
        <v>1945</v>
      </c>
      <c r="I192" s="9">
        <v>562.79</v>
      </c>
      <c r="L192" s="8" t="s">
        <v>119</v>
      </c>
      <c r="M192" s="8" t="s">
        <v>34</v>
      </c>
      <c r="N192" s="8" t="s">
        <v>29</v>
      </c>
      <c r="O192" s="8" t="s">
        <v>14</v>
      </c>
      <c r="P192" s="8" t="s">
        <v>30</v>
      </c>
      <c r="Q192" s="8" t="s">
        <v>549</v>
      </c>
      <c r="R192" s="8" t="s">
        <v>33</v>
      </c>
      <c r="S192" s="8" t="s">
        <v>530</v>
      </c>
      <c r="T192" s="8" t="s">
        <v>31</v>
      </c>
      <c r="U192" s="8" t="s">
        <v>32</v>
      </c>
      <c r="V192" s="8" t="s">
        <v>32</v>
      </c>
      <c r="W192" s="8" t="s">
        <v>33</v>
      </c>
      <c r="X192" s="8" t="s">
        <v>33</v>
      </c>
      <c r="Y192" s="8" t="s">
        <v>33</v>
      </c>
      <c r="Z192" s="8" t="s">
        <v>33</v>
      </c>
      <c r="AA192" s="8" t="s">
        <v>33</v>
      </c>
      <c r="AB192" s="8" t="s">
        <v>32</v>
      </c>
      <c r="AC192" s="8" t="s">
        <v>33</v>
      </c>
      <c r="AD192" s="8" t="s">
        <v>32</v>
      </c>
      <c r="AE192" s="8" t="s">
        <v>32</v>
      </c>
      <c r="AF192" s="4">
        <f t="shared" si="4"/>
        <v>1945</v>
      </c>
      <c r="AG192" s="4">
        <f t="shared" si="5"/>
        <v>562.79</v>
      </c>
      <c r="AH192" s="5" t="s">
        <v>184</v>
      </c>
      <c r="AI192" s="11" t="s">
        <v>551</v>
      </c>
      <c r="AJ192" s="11" t="s">
        <v>541</v>
      </c>
      <c r="AK192" s="11" t="s">
        <v>237</v>
      </c>
    </row>
    <row r="193" spans="1:37" x14ac:dyDescent="0.3">
      <c r="A193" s="8" t="s">
        <v>150</v>
      </c>
      <c r="B193" s="8" t="s">
        <v>151</v>
      </c>
      <c r="C193" s="7">
        <v>45314</v>
      </c>
      <c r="D193" s="8" t="s">
        <v>410</v>
      </c>
      <c r="E193" s="8" t="s">
        <v>549</v>
      </c>
      <c r="F193" s="8" t="s">
        <v>549</v>
      </c>
      <c r="G193" s="8" t="s">
        <v>550</v>
      </c>
      <c r="H193" s="9">
        <v>3899</v>
      </c>
      <c r="I193" s="9">
        <v>1128.18</v>
      </c>
      <c r="L193" s="8" t="s">
        <v>119</v>
      </c>
      <c r="M193" s="8" t="s">
        <v>38</v>
      </c>
      <c r="N193" s="8" t="s">
        <v>29</v>
      </c>
      <c r="O193" s="8" t="s">
        <v>14</v>
      </c>
      <c r="P193" s="8" t="s">
        <v>30</v>
      </c>
      <c r="Q193" s="8" t="s">
        <v>549</v>
      </c>
      <c r="R193" s="8" t="s">
        <v>33</v>
      </c>
      <c r="S193" s="8" t="s">
        <v>530</v>
      </c>
      <c r="T193" s="8" t="s">
        <v>31</v>
      </c>
      <c r="U193" s="8" t="s">
        <v>32</v>
      </c>
      <c r="V193" s="8" t="s">
        <v>32</v>
      </c>
      <c r="W193" s="8" t="s">
        <v>33</v>
      </c>
      <c r="X193" s="8" t="s">
        <v>33</v>
      </c>
      <c r="Y193" s="8" t="s">
        <v>33</v>
      </c>
      <c r="Z193" s="8" t="s">
        <v>33</v>
      </c>
      <c r="AA193" s="8" t="s">
        <v>33</v>
      </c>
      <c r="AB193" s="8" t="s">
        <v>32</v>
      </c>
      <c r="AC193" s="8" t="s">
        <v>33</v>
      </c>
      <c r="AD193" s="8" t="s">
        <v>32</v>
      </c>
      <c r="AE193" s="8" t="s">
        <v>32</v>
      </c>
      <c r="AF193" s="4">
        <f t="shared" si="4"/>
        <v>3899</v>
      </c>
      <c r="AG193" s="4">
        <f t="shared" si="5"/>
        <v>1128.18</v>
      </c>
      <c r="AH193" s="5" t="s">
        <v>184</v>
      </c>
      <c r="AI193" s="11" t="s">
        <v>551</v>
      </c>
      <c r="AJ193" s="11" t="s">
        <v>541</v>
      </c>
      <c r="AK193" s="11" t="s">
        <v>237</v>
      </c>
    </row>
    <row r="194" spans="1:37" x14ac:dyDescent="0.3">
      <c r="A194" s="8" t="s">
        <v>150</v>
      </c>
      <c r="B194" s="8" t="s">
        <v>151</v>
      </c>
      <c r="C194" s="7">
        <v>45314</v>
      </c>
      <c r="D194" s="8" t="s">
        <v>411</v>
      </c>
      <c r="E194" s="8" t="s">
        <v>549</v>
      </c>
      <c r="F194" s="8" t="s">
        <v>549</v>
      </c>
      <c r="G194" s="8" t="s">
        <v>550</v>
      </c>
      <c r="H194" s="9">
        <v>165</v>
      </c>
      <c r="I194" s="9">
        <v>47.74</v>
      </c>
      <c r="L194" s="8" t="s">
        <v>119</v>
      </c>
      <c r="M194" s="8" t="s">
        <v>34</v>
      </c>
      <c r="N194" s="8" t="s">
        <v>29</v>
      </c>
      <c r="O194" s="8" t="s">
        <v>14</v>
      </c>
      <c r="P194" s="8" t="s">
        <v>30</v>
      </c>
      <c r="Q194" s="8" t="s">
        <v>549</v>
      </c>
      <c r="R194" s="8" t="s">
        <v>33</v>
      </c>
      <c r="S194" s="8" t="s">
        <v>530</v>
      </c>
      <c r="T194" s="8" t="s">
        <v>31</v>
      </c>
      <c r="U194" s="8" t="s">
        <v>32</v>
      </c>
      <c r="V194" s="8" t="s">
        <v>32</v>
      </c>
      <c r="W194" s="8" t="s">
        <v>33</v>
      </c>
      <c r="X194" s="8" t="s">
        <v>33</v>
      </c>
      <c r="Y194" s="8" t="s">
        <v>33</v>
      </c>
      <c r="Z194" s="8" t="s">
        <v>33</v>
      </c>
      <c r="AA194" s="8" t="s">
        <v>33</v>
      </c>
      <c r="AB194" s="8" t="s">
        <v>32</v>
      </c>
      <c r="AC194" s="8" t="s">
        <v>33</v>
      </c>
      <c r="AD194" s="8" t="s">
        <v>32</v>
      </c>
      <c r="AE194" s="8" t="s">
        <v>32</v>
      </c>
      <c r="AF194" s="4">
        <f t="shared" ref="AF194:AF257" si="6">+H194-J194</f>
        <v>165</v>
      </c>
      <c r="AG194" s="4">
        <f t="shared" ref="AG194:AG257" si="7">+I194-K194</f>
        <v>47.74</v>
      </c>
      <c r="AH194" s="5" t="s">
        <v>184</v>
      </c>
      <c r="AI194" s="11" t="s">
        <v>551</v>
      </c>
      <c r="AJ194" s="11" t="s">
        <v>541</v>
      </c>
      <c r="AK194" s="11" t="s">
        <v>237</v>
      </c>
    </row>
    <row r="195" spans="1:37" x14ac:dyDescent="0.3">
      <c r="A195" s="8" t="s">
        <v>150</v>
      </c>
      <c r="B195" s="8" t="s">
        <v>151</v>
      </c>
      <c r="C195" s="7">
        <v>45314</v>
      </c>
      <c r="D195" s="8" t="s">
        <v>411</v>
      </c>
      <c r="E195" s="8" t="s">
        <v>549</v>
      </c>
      <c r="F195" s="8" t="s">
        <v>549</v>
      </c>
      <c r="G195" s="8" t="s">
        <v>550</v>
      </c>
      <c r="H195" s="9">
        <v>834</v>
      </c>
      <c r="I195" s="9">
        <v>241.32</v>
      </c>
      <c r="L195" s="8" t="s">
        <v>119</v>
      </c>
      <c r="M195" s="8" t="s">
        <v>38</v>
      </c>
      <c r="N195" s="8" t="s">
        <v>29</v>
      </c>
      <c r="O195" s="8" t="s">
        <v>14</v>
      </c>
      <c r="P195" s="8" t="s">
        <v>30</v>
      </c>
      <c r="Q195" s="8" t="s">
        <v>549</v>
      </c>
      <c r="R195" s="8" t="s">
        <v>33</v>
      </c>
      <c r="S195" s="8" t="s">
        <v>530</v>
      </c>
      <c r="T195" s="8" t="s">
        <v>31</v>
      </c>
      <c r="U195" s="8" t="s">
        <v>32</v>
      </c>
      <c r="V195" s="8" t="s">
        <v>32</v>
      </c>
      <c r="W195" s="8" t="s">
        <v>33</v>
      </c>
      <c r="X195" s="8" t="s">
        <v>33</v>
      </c>
      <c r="Y195" s="8" t="s">
        <v>33</v>
      </c>
      <c r="Z195" s="8" t="s">
        <v>33</v>
      </c>
      <c r="AA195" s="8" t="s">
        <v>33</v>
      </c>
      <c r="AB195" s="8" t="s">
        <v>32</v>
      </c>
      <c r="AC195" s="8" t="s">
        <v>33</v>
      </c>
      <c r="AD195" s="8" t="s">
        <v>32</v>
      </c>
      <c r="AE195" s="8" t="s">
        <v>32</v>
      </c>
      <c r="AF195" s="4">
        <f t="shared" si="6"/>
        <v>834</v>
      </c>
      <c r="AG195" s="4">
        <f t="shared" si="7"/>
        <v>241.32</v>
      </c>
      <c r="AH195" s="5" t="s">
        <v>184</v>
      </c>
      <c r="AI195" s="11" t="s">
        <v>551</v>
      </c>
      <c r="AJ195" s="11" t="s">
        <v>541</v>
      </c>
      <c r="AK195" s="11" t="s">
        <v>237</v>
      </c>
    </row>
    <row r="196" spans="1:37" x14ac:dyDescent="0.3">
      <c r="A196" s="8" t="s">
        <v>150</v>
      </c>
      <c r="B196" s="8" t="s">
        <v>151</v>
      </c>
      <c r="C196" s="7">
        <v>45314</v>
      </c>
      <c r="D196" s="8" t="s">
        <v>412</v>
      </c>
      <c r="E196" s="8" t="s">
        <v>549</v>
      </c>
      <c r="F196" s="8" t="s">
        <v>549</v>
      </c>
      <c r="G196" s="8" t="s">
        <v>550</v>
      </c>
      <c r="H196" s="9">
        <v>6425</v>
      </c>
      <c r="I196" s="9">
        <v>1859.09</v>
      </c>
      <c r="L196" s="8" t="s">
        <v>119</v>
      </c>
      <c r="M196" s="8" t="s">
        <v>34</v>
      </c>
      <c r="N196" s="8" t="s">
        <v>29</v>
      </c>
      <c r="O196" s="8" t="s">
        <v>14</v>
      </c>
      <c r="P196" s="8" t="s">
        <v>30</v>
      </c>
      <c r="Q196" s="8" t="s">
        <v>549</v>
      </c>
      <c r="R196" s="8" t="s">
        <v>33</v>
      </c>
      <c r="S196" s="8" t="s">
        <v>530</v>
      </c>
      <c r="T196" s="8" t="s">
        <v>31</v>
      </c>
      <c r="U196" s="8" t="s">
        <v>32</v>
      </c>
      <c r="V196" s="8" t="s">
        <v>32</v>
      </c>
      <c r="W196" s="8" t="s">
        <v>33</v>
      </c>
      <c r="X196" s="8" t="s">
        <v>33</v>
      </c>
      <c r="Y196" s="8" t="s">
        <v>33</v>
      </c>
      <c r="Z196" s="8" t="s">
        <v>33</v>
      </c>
      <c r="AA196" s="8" t="s">
        <v>33</v>
      </c>
      <c r="AB196" s="8" t="s">
        <v>32</v>
      </c>
      <c r="AC196" s="8" t="s">
        <v>33</v>
      </c>
      <c r="AD196" s="8" t="s">
        <v>32</v>
      </c>
      <c r="AE196" s="8" t="s">
        <v>32</v>
      </c>
      <c r="AF196" s="4">
        <f t="shared" si="6"/>
        <v>6425</v>
      </c>
      <c r="AG196" s="4">
        <f t="shared" si="7"/>
        <v>1859.09</v>
      </c>
      <c r="AH196" s="5" t="s">
        <v>184</v>
      </c>
      <c r="AI196" s="11" t="s">
        <v>551</v>
      </c>
      <c r="AJ196" s="11" t="s">
        <v>541</v>
      </c>
      <c r="AK196" s="11" t="s">
        <v>237</v>
      </c>
    </row>
    <row r="197" spans="1:37" x14ac:dyDescent="0.3">
      <c r="A197" s="8" t="s">
        <v>150</v>
      </c>
      <c r="B197" s="8" t="s">
        <v>151</v>
      </c>
      <c r="C197" s="7">
        <v>45314</v>
      </c>
      <c r="D197" s="8" t="s">
        <v>412</v>
      </c>
      <c r="E197" s="8" t="s">
        <v>549</v>
      </c>
      <c r="F197" s="8" t="s">
        <v>549</v>
      </c>
      <c r="G197" s="8" t="s">
        <v>550</v>
      </c>
      <c r="H197" s="9">
        <v>1235</v>
      </c>
      <c r="I197" s="9">
        <v>357.35</v>
      </c>
      <c r="L197" s="8" t="s">
        <v>119</v>
      </c>
      <c r="M197" s="8" t="s">
        <v>38</v>
      </c>
      <c r="N197" s="8" t="s">
        <v>29</v>
      </c>
      <c r="O197" s="8" t="s">
        <v>14</v>
      </c>
      <c r="P197" s="8" t="s">
        <v>30</v>
      </c>
      <c r="Q197" s="8" t="s">
        <v>549</v>
      </c>
      <c r="R197" s="8" t="s">
        <v>33</v>
      </c>
      <c r="S197" s="8" t="s">
        <v>530</v>
      </c>
      <c r="T197" s="8" t="s">
        <v>31</v>
      </c>
      <c r="U197" s="8" t="s">
        <v>32</v>
      </c>
      <c r="V197" s="8" t="s">
        <v>32</v>
      </c>
      <c r="W197" s="8" t="s">
        <v>33</v>
      </c>
      <c r="X197" s="8" t="s">
        <v>33</v>
      </c>
      <c r="Y197" s="8" t="s">
        <v>33</v>
      </c>
      <c r="Z197" s="8" t="s">
        <v>33</v>
      </c>
      <c r="AA197" s="8" t="s">
        <v>33</v>
      </c>
      <c r="AB197" s="8" t="s">
        <v>32</v>
      </c>
      <c r="AC197" s="8" t="s">
        <v>33</v>
      </c>
      <c r="AD197" s="8" t="s">
        <v>32</v>
      </c>
      <c r="AE197" s="8" t="s">
        <v>32</v>
      </c>
      <c r="AF197" s="4">
        <f t="shared" si="6"/>
        <v>1235</v>
      </c>
      <c r="AG197" s="4">
        <f t="shared" si="7"/>
        <v>357.35</v>
      </c>
      <c r="AH197" s="5" t="s">
        <v>184</v>
      </c>
      <c r="AI197" s="11" t="s">
        <v>551</v>
      </c>
      <c r="AJ197" s="11" t="s">
        <v>541</v>
      </c>
      <c r="AK197" s="11" t="s">
        <v>237</v>
      </c>
    </row>
    <row r="198" spans="1:37" x14ac:dyDescent="0.3">
      <c r="A198" s="8" t="s">
        <v>94</v>
      </c>
      <c r="B198" s="8" t="s">
        <v>95</v>
      </c>
      <c r="C198" s="7">
        <v>45314</v>
      </c>
      <c r="D198" s="8" t="s">
        <v>413</v>
      </c>
      <c r="E198" s="8" t="s">
        <v>549</v>
      </c>
      <c r="F198" s="8" t="s">
        <v>549</v>
      </c>
      <c r="G198" s="8" t="s">
        <v>550</v>
      </c>
      <c r="H198" s="9">
        <v>7313</v>
      </c>
      <c r="I198" s="9">
        <v>2116.0300000000002</v>
      </c>
      <c r="L198" s="8" t="s">
        <v>100</v>
      </c>
      <c r="M198" s="8" t="s">
        <v>34</v>
      </c>
      <c r="N198" s="8" t="s">
        <v>35</v>
      </c>
      <c r="O198" s="8" t="s">
        <v>14</v>
      </c>
      <c r="P198" s="8" t="s">
        <v>36</v>
      </c>
      <c r="Q198" s="8" t="s">
        <v>549</v>
      </c>
      <c r="R198" s="8" t="s">
        <v>33</v>
      </c>
      <c r="S198" s="8" t="s">
        <v>530</v>
      </c>
      <c r="T198" s="8" t="s">
        <v>37</v>
      </c>
      <c r="U198" s="8" t="s">
        <v>32</v>
      </c>
      <c r="V198" s="8" t="s">
        <v>32</v>
      </c>
      <c r="W198" s="8" t="s">
        <v>33</v>
      </c>
      <c r="X198" s="8" t="s">
        <v>33</v>
      </c>
      <c r="Y198" s="8" t="s">
        <v>33</v>
      </c>
      <c r="Z198" s="8" t="s">
        <v>33</v>
      </c>
      <c r="AA198" s="8" t="s">
        <v>33</v>
      </c>
      <c r="AB198" s="8" t="s">
        <v>32</v>
      </c>
      <c r="AC198" s="8" t="s">
        <v>33</v>
      </c>
      <c r="AD198" s="8" t="s">
        <v>32</v>
      </c>
      <c r="AE198" s="8" t="s">
        <v>32</v>
      </c>
      <c r="AF198" s="4">
        <f t="shared" si="6"/>
        <v>7313</v>
      </c>
      <c r="AG198" s="4">
        <f t="shared" si="7"/>
        <v>2116.0300000000002</v>
      </c>
      <c r="AH198" s="5" t="s">
        <v>185</v>
      </c>
      <c r="AI198" s="11" t="s">
        <v>222</v>
      </c>
      <c r="AJ198" s="11" t="s">
        <v>212</v>
      </c>
      <c r="AK198" s="11" t="s">
        <v>235</v>
      </c>
    </row>
    <row r="199" spans="1:37" x14ac:dyDescent="0.3">
      <c r="A199" s="8" t="s">
        <v>83</v>
      </c>
      <c r="B199" s="8" t="s">
        <v>84</v>
      </c>
      <c r="C199" s="7">
        <v>45315</v>
      </c>
      <c r="D199" s="8" t="s">
        <v>414</v>
      </c>
      <c r="E199" s="8" t="s">
        <v>549</v>
      </c>
      <c r="F199" s="8" t="s">
        <v>549</v>
      </c>
      <c r="G199" s="8" t="s">
        <v>550</v>
      </c>
      <c r="H199" s="9">
        <v>4952</v>
      </c>
      <c r="I199" s="9">
        <v>1432.87</v>
      </c>
      <c r="L199" s="8" t="s">
        <v>76</v>
      </c>
      <c r="M199" s="8" t="s">
        <v>34</v>
      </c>
      <c r="N199" s="8" t="s">
        <v>41</v>
      </c>
      <c r="O199" s="8" t="s">
        <v>14</v>
      </c>
      <c r="P199" s="8" t="s">
        <v>42</v>
      </c>
      <c r="Q199" s="8" t="s">
        <v>549</v>
      </c>
      <c r="R199" s="8" t="s">
        <v>33</v>
      </c>
      <c r="S199" s="8" t="s">
        <v>530</v>
      </c>
      <c r="T199" s="8" t="s">
        <v>80</v>
      </c>
      <c r="U199" s="8" t="s">
        <v>32</v>
      </c>
      <c r="V199" s="8" t="s">
        <v>32</v>
      </c>
      <c r="W199" s="8" t="s">
        <v>33</v>
      </c>
      <c r="X199" s="8" t="s">
        <v>33</v>
      </c>
      <c r="Y199" s="8" t="s">
        <v>33</v>
      </c>
      <c r="Z199" s="8" t="s">
        <v>33</v>
      </c>
      <c r="AA199" s="8" t="s">
        <v>33</v>
      </c>
      <c r="AB199" s="8" t="s">
        <v>32</v>
      </c>
      <c r="AC199" s="8" t="s">
        <v>33</v>
      </c>
      <c r="AD199" s="8" t="s">
        <v>32</v>
      </c>
      <c r="AE199" s="8" t="s">
        <v>32</v>
      </c>
      <c r="AF199" s="4">
        <f t="shared" si="6"/>
        <v>4952</v>
      </c>
      <c r="AG199" s="4">
        <f t="shared" si="7"/>
        <v>1432.87</v>
      </c>
      <c r="AH199" s="5" t="s">
        <v>185</v>
      </c>
      <c r="AI199" s="11" t="s">
        <v>213</v>
      </c>
      <c r="AJ199" s="11" t="s">
        <v>205</v>
      </c>
      <c r="AK199" s="11" t="s">
        <v>235</v>
      </c>
    </row>
    <row r="200" spans="1:37" x14ac:dyDescent="0.3">
      <c r="A200" s="8" t="s">
        <v>83</v>
      </c>
      <c r="B200" s="8" t="s">
        <v>84</v>
      </c>
      <c r="C200" s="7">
        <v>45315</v>
      </c>
      <c r="D200" s="8" t="s">
        <v>415</v>
      </c>
      <c r="E200" s="8" t="s">
        <v>549</v>
      </c>
      <c r="F200" s="8" t="s">
        <v>549</v>
      </c>
      <c r="G200" s="8" t="s">
        <v>550</v>
      </c>
      <c r="H200" s="9">
        <v>6352</v>
      </c>
      <c r="I200" s="9">
        <v>1837.96</v>
      </c>
      <c r="L200" s="8" t="s">
        <v>76</v>
      </c>
      <c r="M200" s="8" t="s">
        <v>34</v>
      </c>
      <c r="N200" s="8" t="s">
        <v>41</v>
      </c>
      <c r="O200" s="8" t="s">
        <v>14</v>
      </c>
      <c r="P200" s="8" t="s">
        <v>42</v>
      </c>
      <c r="Q200" s="8" t="s">
        <v>549</v>
      </c>
      <c r="R200" s="8" t="s">
        <v>33</v>
      </c>
      <c r="S200" s="8" t="s">
        <v>530</v>
      </c>
      <c r="T200" s="8" t="s">
        <v>80</v>
      </c>
      <c r="U200" s="8" t="s">
        <v>32</v>
      </c>
      <c r="V200" s="8" t="s">
        <v>32</v>
      </c>
      <c r="W200" s="8" t="s">
        <v>33</v>
      </c>
      <c r="X200" s="8" t="s">
        <v>33</v>
      </c>
      <c r="Y200" s="8" t="s">
        <v>33</v>
      </c>
      <c r="Z200" s="8" t="s">
        <v>33</v>
      </c>
      <c r="AA200" s="8" t="s">
        <v>33</v>
      </c>
      <c r="AB200" s="8" t="s">
        <v>32</v>
      </c>
      <c r="AC200" s="8" t="s">
        <v>33</v>
      </c>
      <c r="AD200" s="8" t="s">
        <v>32</v>
      </c>
      <c r="AE200" s="8" t="s">
        <v>32</v>
      </c>
      <c r="AF200" s="4">
        <f t="shared" si="6"/>
        <v>6352</v>
      </c>
      <c r="AG200" s="4">
        <f t="shared" si="7"/>
        <v>1837.96</v>
      </c>
      <c r="AH200" s="5" t="s">
        <v>185</v>
      </c>
      <c r="AI200" s="11" t="s">
        <v>213</v>
      </c>
      <c r="AJ200" s="11" t="s">
        <v>205</v>
      </c>
      <c r="AK200" s="11" t="s">
        <v>235</v>
      </c>
    </row>
    <row r="201" spans="1:37" x14ac:dyDescent="0.3">
      <c r="A201" s="8" t="s">
        <v>83</v>
      </c>
      <c r="B201" s="8" t="s">
        <v>84</v>
      </c>
      <c r="C201" s="7">
        <v>45315</v>
      </c>
      <c r="D201" s="8" t="s">
        <v>416</v>
      </c>
      <c r="E201" s="8" t="s">
        <v>549</v>
      </c>
      <c r="F201" s="8" t="s">
        <v>549</v>
      </c>
      <c r="G201" s="8" t="s">
        <v>550</v>
      </c>
      <c r="H201" s="9">
        <v>3767</v>
      </c>
      <c r="I201" s="9">
        <v>1089.99</v>
      </c>
      <c r="L201" s="8" t="s">
        <v>105</v>
      </c>
      <c r="M201" s="8" t="s">
        <v>34</v>
      </c>
      <c r="N201" s="8" t="s">
        <v>41</v>
      </c>
      <c r="O201" s="8" t="s">
        <v>14</v>
      </c>
      <c r="P201" s="8" t="s">
        <v>42</v>
      </c>
      <c r="Q201" s="8" t="s">
        <v>549</v>
      </c>
      <c r="R201" s="8" t="s">
        <v>33</v>
      </c>
      <c r="S201" s="8" t="s">
        <v>530</v>
      </c>
      <c r="T201" s="8" t="s">
        <v>80</v>
      </c>
      <c r="U201" s="8" t="s">
        <v>32</v>
      </c>
      <c r="V201" s="8" t="s">
        <v>32</v>
      </c>
      <c r="W201" s="8" t="s">
        <v>33</v>
      </c>
      <c r="X201" s="8" t="s">
        <v>33</v>
      </c>
      <c r="Y201" s="8" t="s">
        <v>33</v>
      </c>
      <c r="Z201" s="8" t="s">
        <v>33</v>
      </c>
      <c r="AA201" s="8" t="s">
        <v>33</v>
      </c>
      <c r="AB201" s="8" t="s">
        <v>32</v>
      </c>
      <c r="AC201" s="8" t="s">
        <v>33</v>
      </c>
      <c r="AD201" s="8" t="s">
        <v>32</v>
      </c>
      <c r="AE201" s="8" t="s">
        <v>32</v>
      </c>
      <c r="AF201" s="4">
        <f t="shared" si="6"/>
        <v>3767</v>
      </c>
      <c r="AG201" s="4">
        <f t="shared" si="7"/>
        <v>1089.99</v>
      </c>
      <c r="AH201" s="5" t="s">
        <v>185</v>
      </c>
      <c r="AI201" s="11" t="s">
        <v>213</v>
      </c>
      <c r="AJ201" s="11" t="s">
        <v>209</v>
      </c>
      <c r="AK201" s="11" t="s">
        <v>235</v>
      </c>
    </row>
    <row r="202" spans="1:37" x14ac:dyDescent="0.3">
      <c r="A202" s="8" t="s">
        <v>117</v>
      </c>
      <c r="B202" s="8" t="s">
        <v>118</v>
      </c>
      <c r="C202" s="7">
        <v>45315</v>
      </c>
      <c r="D202" s="8" t="s">
        <v>417</v>
      </c>
      <c r="E202" s="8" t="s">
        <v>549</v>
      </c>
      <c r="F202" s="8" t="s">
        <v>549</v>
      </c>
      <c r="G202" s="8" t="s">
        <v>550</v>
      </c>
      <c r="H202" s="9">
        <v>8528</v>
      </c>
      <c r="I202" s="9">
        <v>2467.59</v>
      </c>
      <c r="L202" s="8" t="s">
        <v>93</v>
      </c>
      <c r="M202" s="8" t="s">
        <v>34</v>
      </c>
      <c r="N202" s="8" t="s">
        <v>29</v>
      </c>
      <c r="O202" s="8" t="s">
        <v>14</v>
      </c>
      <c r="P202" s="8" t="s">
        <v>30</v>
      </c>
      <c r="Q202" s="8" t="s">
        <v>549</v>
      </c>
      <c r="R202" s="8" t="s">
        <v>33</v>
      </c>
      <c r="S202" s="8" t="s">
        <v>530</v>
      </c>
      <c r="T202" s="8" t="s">
        <v>31</v>
      </c>
      <c r="U202" s="8" t="s">
        <v>32</v>
      </c>
      <c r="V202" s="8" t="s">
        <v>32</v>
      </c>
      <c r="W202" s="8" t="s">
        <v>33</v>
      </c>
      <c r="X202" s="8" t="s">
        <v>33</v>
      </c>
      <c r="Y202" s="8" t="s">
        <v>33</v>
      </c>
      <c r="Z202" s="8" t="s">
        <v>33</v>
      </c>
      <c r="AA202" s="8" t="s">
        <v>33</v>
      </c>
      <c r="AB202" s="8" t="s">
        <v>32</v>
      </c>
      <c r="AC202" s="8" t="s">
        <v>33</v>
      </c>
      <c r="AD202" s="8" t="s">
        <v>32</v>
      </c>
      <c r="AE202" s="8" t="s">
        <v>32</v>
      </c>
      <c r="AF202" s="4">
        <f t="shared" si="6"/>
        <v>8528</v>
      </c>
      <c r="AG202" s="4">
        <f t="shared" si="7"/>
        <v>2467.59</v>
      </c>
      <c r="AH202" s="5" t="s">
        <v>185</v>
      </c>
      <c r="AI202" s="11" t="s">
        <v>214</v>
      </c>
      <c r="AJ202" s="11" t="s">
        <v>206</v>
      </c>
      <c r="AK202" s="11" t="s">
        <v>235</v>
      </c>
    </row>
    <row r="203" spans="1:37" x14ac:dyDescent="0.3">
      <c r="A203" s="8" t="s">
        <v>117</v>
      </c>
      <c r="B203" s="8" t="s">
        <v>118</v>
      </c>
      <c r="C203" s="7">
        <v>45315</v>
      </c>
      <c r="D203" s="8" t="s">
        <v>418</v>
      </c>
      <c r="E203" s="8" t="s">
        <v>549</v>
      </c>
      <c r="F203" s="8" t="s">
        <v>549</v>
      </c>
      <c r="G203" s="8" t="s">
        <v>550</v>
      </c>
      <c r="H203" s="9">
        <v>4639</v>
      </c>
      <c r="I203" s="9">
        <v>1342.3</v>
      </c>
      <c r="L203" s="8" t="s">
        <v>93</v>
      </c>
      <c r="M203" s="8" t="s">
        <v>34</v>
      </c>
      <c r="N203" s="8" t="s">
        <v>29</v>
      </c>
      <c r="O203" s="8" t="s">
        <v>14</v>
      </c>
      <c r="P203" s="8" t="s">
        <v>30</v>
      </c>
      <c r="Q203" s="8" t="s">
        <v>549</v>
      </c>
      <c r="R203" s="8" t="s">
        <v>33</v>
      </c>
      <c r="S203" s="8" t="s">
        <v>530</v>
      </c>
      <c r="T203" s="8" t="s">
        <v>31</v>
      </c>
      <c r="U203" s="8" t="s">
        <v>32</v>
      </c>
      <c r="V203" s="8" t="s">
        <v>32</v>
      </c>
      <c r="W203" s="8" t="s">
        <v>33</v>
      </c>
      <c r="X203" s="8" t="s">
        <v>33</v>
      </c>
      <c r="Y203" s="8" t="s">
        <v>33</v>
      </c>
      <c r="Z203" s="8" t="s">
        <v>33</v>
      </c>
      <c r="AA203" s="8" t="s">
        <v>33</v>
      </c>
      <c r="AB203" s="8" t="s">
        <v>32</v>
      </c>
      <c r="AC203" s="8" t="s">
        <v>33</v>
      </c>
      <c r="AD203" s="8" t="s">
        <v>32</v>
      </c>
      <c r="AE203" s="8" t="s">
        <v>32</v>
      </c>
      <c r="AF203" s="4">
        <f t="shared" si="6"/>
        <v>4639</v>
      </c>
      <c r="AG203" s="4">
        <f t="shared" si="7"/>
        <v>1342.3</v>
      </c>
      <c r="AH203" s="5" t="s">
        <v>185</v>
      </c>
      <c r="AI203" s="11" t="s">
        <v>214</v>
      </c>
      <c r="AJ203" s="11" t="s">
        <v>206</v>
      </c>
      <c r="AK203" s="11" t="s">
        <v>235</v>
      </c>
    </row>
    <row r="204" spans="1:37" x14ac:dyDescent="0.3">
      <c r="A204" s="8" t="s">
        <v>138</v>
      </c>
      <c r="B204" s="8" t="s">
        <v>139</v>
      </c>
      <c r="C204" s="7">
        <v>45315</v>
      </c>
      <c r="D204" s="8" t="s">
        <v>419</v>
      </c>
      <c r="E204" s="8" t="s">
        <v>549</v>
      </c>
      <c r="F204" s="8" t="s">
        <v>549</v>
      </c>
      <c r="G204" s="8" t="s">
        <v>550</v>
      </c>
      <c r="H204" s="9">
        <v>3700</v>
      </c>
      <c r="I204" s="9">
        <v>1070.5999999999999</v>
      </c>
      <c r="L204" s="8" t="s">
        <v>93</v>
      </c>
      <c r="M204" s="8" t="s">
        <v>34</v>
      </c>
      <c r="N204" s="8" t="s">
        <v>29</v>
      </c>
      <c r="O204" s="8" t="s">
        <v>14</v>
      </c>
      <c r="P204" s="8" t="s">
        <v>30</v>
      </c>
      <c r="Q204" s="8" t="s">
        <v>549</v>
      </c>
      <c r="R204" s="8" t="s">
        <v>33</v>
      </c>
      <c r="S204" s="8" t="s">
        <v>530</v>
      </c>
      <c r="T204" s="8" t="s">
        <v>31</v>
      </c>
      <c r="U204" s="8" t="s">
        <v>32</v>
      </c>
      <c r="V204" s="8" t="s">
        <v>32</v>
      </c>
      <c r="W204" s="8" t="s">
        <v>33</v>
      </c>
      <c r="X204" s="8" t="s">
        <v>33</v>
      </c>
      <c r="Y204" s="8" t="s">
        <v>33</v>
      </c>
      <c r="Z204" s="8" t="s">
        <v>33</v>
      </c>
      <c r="AA204" s="8" t="s">
        <v>33</v>
      </c>
      <c r="AB204" s="8" t="s">
        <v>32</v>
      </c>
      <c r="AC204" s="8" t="s">
        <v>33</v>
      </c>
      <c r="AD204" s="8" t="s">
        <v>32</v>
      </c>
      <c r="AE204" s="8" t="s">
        <v>32</v>
      </c>
      <c r="AF204" s="4">
        <f t="shared" si="6"/>
        <v>3700</v>
      </c>
      <c r="AG204" s="4">
        <f t="shared" si="7"/>
        <v>1070.5999999999999</v>
      </c>
      <c r="AH204" s="5" t="s">
        <v>185</v>
      </c>
      <c r="AI204" s="11" t="s">
        <v>227</v>
      </c>
      <c r="AJ204" s="11" t="s">
        <v>206</v>
      </c>
      <c r="AK204" s="11" t="s">
        <v>235</v>
      </c>
    </row>
    <row r="205" spans="1:37" x14ac:dyDescent="0.3">
      <c r="A205" s="8" t="s">
        <v>90</v>
      </c>
      <c r="B205" s="8" t="s">
        <v>91</v>
      </c>
      <c r="C205" s="7">
        <v>45315</v>
      </c>
      <c r="D205" s="8" t="s">
        <v>420</v>
      </c>
      <c r="E205" s="8" t="s">
        <v>549</v>
      </c>
      <c r="F205" s="8" t="s">
        <v>549</v>
      </c>
      <c r="G205" s="8" t="s">
        <v>550</v>
      </c>
      <c r="H205" s="9">
        <v>2935</v>
      </c>
      <c r="I205" s="9">
        <v>849.25</v>
      </c>
      <c r="L205" s="8" t="s">
        <v>93</v>
      </c>
      <c r="M205" s="8" t="s">
        <v>34</v>
      </c>
      <c r="N205" s="8" t="s">
        <v>29</v>
      </c>
      <c r="O205" s="8" t="s">
        <v>14</v>
      </c>
      <c r="P205" s="8" t="s">
        <v>30</v>
      </c>
      <c r="Q205" s="8" t="s">
        <v>549</v>
      </c>
      <c r="R205" s="8" t="s">
        <v>33</v>
      </c>
      <c r="S205" s="8" t="s">
        <v>530</v>
      </c>
      <c r="T205" s="8" t="s">
        <v>31</v>
      </c>
      <c r="U205" s="8" t="s">
        <v>32</v>
      </c>
      <c r="V205" s="8" t="s">
        <v>32</v>
      </c>
      <c r="W205" s="8" t="s">
        <v>33</v>
      </c>
      <c r="X205" s="8" t="s">
        <v>33</v>
      </c>
      <c r="Y205" s="8" t="s">
        <v>33</v>
      </c>
      <c r="Z205" s="8" t="s">
        <v>33</v>
      </c>
      <c r="AA205" s="8" t="s">
        <v>33</v>
      </c>
      <c r="AB205" s="8" t="s">
        <v>32</v>
      </c>
      <c r="AC205" s="8" t="s">
        <v>33</v>
      </c>
      <c r="AD205" s="8" t="s">
        <v>32</v>
      </c>
      <c r="AE205" s="8" t="s">
        <v>32</v>
      </c>
      <c r="AF205" s="4">
        <f t="shared" si="6"/>
        <v>2935</v>
      </c>
      <c r="AG205" s="4">
        <f t="shared" si="7"/>
        <v>849.25</v>
      </c>
      <c r="AH205" s="5" t="s">
        <v>185</v>
      </c>
      <c r="AI205" s="11" t="s">
        <v>218</v>
      </c>
      <c r="AJ205" s="11" t="s">
        <v>206</v>
      </c>
      <c r="AK205" s="11" t="s">
        <v>235</v>
      </c>
    </row>
    <row r="206" spans="1:37" x14ac:dyDescent="0.3">
      <c r="A206" s="8" t="s">
        <v>150</v>
      </c>
      <c r="B206" s="8" t="s">
        <v>151</v>
      </c>
      <c r="C206" s="7">
        <v>45315</v>
      </c>
      <c r="D206" s="8" t="s">
        <v>421</v>
      </c>
      <c r="E206" s="8" t="s">
        <v>549</v>
      </c>
      <c r="F206" s="8" t="s">
        <v>549</v>
      </c>
      <c r="G206" s="8" t="s">
        <v>550</v>
      </c>
      <c r="H206" s="9">
        <v>5371</v>
      </c>
      <c r="I206" s="9">
        <v>1554.11</v>
      </c>
      <c r="L206" s="8" t="s">
        <v>119</v>
      </c>
      <c r="M206" s="8" t="s">
        <v>34</v>
      </c>
      <c r="N206" s="8" t="s">
        <v>29</v>
      </c>
      <c r="O206" s="8" t="s">
        <v>14</v>
      </c>
      <c r="P206" s="8" t="s">
        <v>30</v>
      </c>
      <c r="Q206" s="8" t="s">
        <v>549</v>
      </c>
      <c r="R206" s="8" t="s">
        <v>33</v>
      </c>
      <c r="S206" s="8" t="s">
        <v>530</v>
      </c>
      <c r="T206" s="8" t="s">
        <v>31</v>
      </c>
      <c r="U206" s="8" t="s">
        <v>32</v>
      </c>
      <c r="V206" s="8" t="s">
        <v>32</v>
      </c>
      <c r="W206" s="8" t="s">
        <v>33</v>
      </c>
      <c r="X206" s="8" t="s">
        <v>33</v>
      </c>
      <c r="Y206" s="8" t="s">
        <v>33</v>
      </c>
      <c r="Z206" s="8" t="s">
        <v>33</v>
      </c>
      <c r="AA206" s="8" t="s">
        <v>33</v>
      </c>
      <c r="AB206" s="8" t="s">
        <v>32</v>
      </c>
      <c r="AC206" s="8" t="s">
        <v>33</v>
      </c>
      <c r="AD206" s="8" t="s">
        <v>32</v>
      </c>
      <c r="AE206" s="8" t="s">
        <v>32</v>
      </c>
      <c r="AF206" s="4">
        <f t="shared" si="6"/>
        <v>5371</v>
      </c>
      <c r="AG206" s="4">
        <f t="shared" si="7"/>
        <v>1554.11</v>
      </c>
      <c r="AH206" s="5" t="s">
        <v>184</v>
      </c>
      <c r="AI206" s="11" t="s">
        <v>551</v>
      </c>
      <c r="AJ206" s="11" t="s">
        <v>541</v>
      </c>
      <c r="AK206" s="11" t="s">
        <v>237</v>
      </c>
    </row>
    <row r="207" spans="1:37" x14ac:dyDescent="0.3">
      <c r="A207" s="8" t="s">
        <v>150</v>
      </c>
      <c r="B207" s="8" t="s">
        <v>151</v>
      </c>
      <c r="C207" s="7">
        <v>45315</v>
      </c>
      <c r="D207" s="8" t="s">
        <v>421</v>
      </c>
      <c r="E207" s="8" t="s">
        <v>549</v>
      </c>
      <c r="F207" s="8" t="s">
        <v>549</v>
      </c>
      <c r="G207" s="8" t="s">
        <v>550</v>
      </c>
      <c r="H207" s="9">
        <v>1107</v>
      </c>
      <c r="I207" s="9">
        <v>320.31</v>
      </c>
      <c r="L207" s="8" t="s">
        <v>119</v>
      </c>
      <c r="M207" s="8" t="s">
        <v>38</v>
      </c>
      <c r="N207" s="8" t="s">
        <v>29</v>
      </c>
      <c r="O207" s="8" t="s">
        <v>14</v>
      </c>
      <c r="P207" s="8" t="s">
        <v>30</v>
      </c>
      <c r="Q207" s="8" t="s">
        <v>549</v>
      </c>
      <c r="R207" s="8" t="s">
        <v>33</v>
      </c>
      <c r="S207" s="8" t="s">
        <v>530</v>
      </c>
      <c r="T207" s="8" t="s">
        <v>31</v>
      </c>
      <c r="U207" s="8" t="s">
        <v>32</v>
      </c>
      <c r="V207" s="8" t="s">
        <v>32</v>
      </c>
      <c r="W207" s="8" t="s">
        <v>33</v>
      </c>
      <c r="X207" s="8" t="s">
        <v>33</v>
      </c>
      <c r="Y207" s="8" t="s">
        <v>33</v>
      </c>
      <c r="Z207" s="8" t="s">
        <v>33</v>
      </c>
      <c r="AA207" s="8" t="s">
        <v>33</v>
      </c>
      <c r="AB207" s="8" t="s">
        <v>32</v>
      </c>
      <c r="AC207" s="8" t="s">
        <v>33</v>
      </c>
      <c r="AD207" s="8" t="s">
        <v>32</v>
      </c>
      <c r="AE207" s="8" t="s">
        <v>32</v>
      </c>
      <c r="AF207" s="4">
        <f t="shared" si="6"/>
        <v>1107</v>
      </c>
      <c r="AG207" s="4">
        <f t="shared" si="7"/>
        <v>320.31</v>
      </c>
      <c r="AH207" s="5" t="s">
        <v>184</v>
      </c>
      <c r="AI207" s="11" t="s">
        <v>551</v>
      </c>
      <c r="AJ207" s="11" t="s">
        <v>541</v>
      </c>
      <c r="AK207" s="11" t="s">
        <v>237</v>
      </c>
    </row>
    <row r="208" spans="1:37" x14ac:dyDescent="0.3">
      <c r="A208" s="8" t="s">
        <v>103</v>
      </c>
      <c r="B208" s="8" t="s">
        <v>104</v>
      </c>
      <c r="C208" s="7">
        <v>45315</v>
      </c>
      <c r="D208" s="8" t="s">
        <v>422</v>
      </c>
      <c r="E208" s="8" t="s">
        <v>549</v>
      </c>
      <c r="F208" s="8" t="s">
        <v>549</v>
      </c>
      <c r="G208" s="8" t="s">
        <v>550</v>
      </c>
      <c r="H208" s="9">
        <v>7775</v>
      </c>
      <c r="I208" s="9">
        <v>2249.71</v>
      </c>
      <c r="L208" s="8" t="s">
        <v>93</v>
      </c>
      <c r="M208" s="8" t="s">
        <v>38</v>
      </c>
      <c r="N208" s="8" t="s">
        <v>29</v>
      </c>
      <c r="O208" s="8" t="s">
        <v>14</v>
      </c>
      <c r="P208" s="8" t="s">
        <v>30</v>
      </c>
      <c r="Q208" s="8" t="s">
        <v>549</v>
      </c>
      <c r="R208" s="8" t="s">
        <v>33</v>
      </c>
      <c r="S208" s="8" t="s">
        <v>530</v>
      </c>
      <c r="T208" s="8" t="s">
        <v>31</v>
      </c>
      <c r="U208" s="8" t="s">
        <v>32</v>
      </c>
      <c r="V208" s="8" t="s">
        <v>32</v>
      </c>
      <c r="W208" s="8" t="s">
        <v>33</v>
      </c>
      <c r="X208" s="8" t="s">
        <v>33</v>
      </c>
      <c r="Y208" s="8" t="s">
        <v>33</v>
      </c>
      <c r="Z208" s="8" t="s">
        <v>33</v>
      </c>
      <c r="AA208" s="8" t="s">
        <v>33</v>
      </c>
      <c r="AB208" s="8" t="s">
        <v>32</v>
      </c>
      <c r="AC208" s="8" t="s">
        <v>33</v>
      </c>
      <c r="AD208" s="8" t="s">
        <v>32</v>
      </c>
      <c r="AE208" s="8" t="s">
        <v>32</v>
      </c>
      <c r="AF208" s="4">
        <f t="shared" si="6"/>
        <v>7775</v>
      </c>
      <c r="AG208" s="4">
        <f t="shared" si="7"/>
        <v>2249.71</v>
      </c>
      <c r="AH208" s="5" t="s">
        <v>185</v>
      </c>
      <c r="AI208" s="11" t="s">
        <v>232</v>
      </c>
      <c r="AJ208" s="11" t="s">
        <v>206</v>
      </c>
      <c r="AK208" s="11" t="s">
        <v>235</v>
      </c>
    </row>
    <row r="209" spans="1:37" x14ac:dyDescent="0.3">
      <c r="A209" s="8" t="s">
        <v>144</v>
      </c>
      <c r="B209" s="8" t="s">
        <v>145</v>
      </c>
      <c r="C209" s="7">
        <v>45315</v>
      </c>
      <c r="D209" s="8" t="s">
        <v>423</v>
      </c>
      <c r="E209" s="8" t="s">
        <v>549</v>
      </c>
      <c r="F209" s="8" t="s">
        <v>549</v>
      </c>
      <c r="G209" s="8" t="s">
        <v>550</v>
      </c>
      <c r="H209" s="9">
        <v>2422</v>
      </c>
      <c r="I209" s="9">
        <v>700.81</v>
      </c>
      <c r="L209" s="8" t="s">
        <v>100</v>
      </c>
      <c r="M209" s="8" t="s">
        <v>34</v>
      </c>
      <c r="N209" s="8" t="s">
        <v>29</v>
      </c>
      <c r="O209" s="8" t="s">
        <v>14</v>
      </c>
      <c r="P209" s="8" t="s">
        <v>30</v>
      </c>
      <c r="Q209" s="8" t="s">
        <v>549</v>
      </c>
      <c r="R209" s="8" t="s">
        <v>33</v>
      </c>
      <c r="S209" s="8" t="s">
        <v>530</v>
      </c>
      <c r="T209" s="8" t="s">
        <v>31</v>
      </c>
      <c r="U209" s="8" t="s">
        <v>32</v>
      </c>
      <c r="V209" s="8" t="s">
        <v>32</v>
      </c>
      <c r="W209" s="8" t="s">
        <v>33</v>
      </c>
      <c r="X209" s="8" t="s">
        <v>33</v>
      </c>
      <c r="Y209" s="8" t="s">
        <v>33</v>
      </c>
      <c r="Z209" s="8" t="s">
        <v>33</v>
      </c>
      <c r="AA209" s="8" t="s">
        <v>33</v>
      </c>
      <c r="AB209" s="8" t="s">
        <v>32</v>
      </c>
      <c r="AC209" s="8" t="s">
        <v>33</v>
      </c>
      <c r="AD209" s="8" t="s">
        <v>32</v>
      </c>
      <c r="AE209" s="8" t="s">
        <v>32</v>
      </c>
      <c r="AF209" s="4">
        <f t="shared" si="6"/>
        <v>2422</v>
      </c>
      <c r="AG209" s="4">
        <f t="shared" si="7"/>
        <v>700.81</v>
      </c>
      <c r="AH209" s="5" t="s">
        <v>185</v>
      </c>
      <c r="AI209" s="11" t="s">
        <v>218</v>
      </c>
      <c r="AJ209" s="11" t="s">
        <v>212</v>
      </c>
      <c r="AK209" s="11" t="s">
        <v>235</v>
      </c>
    </row>
    <row r="210" spans="1:37" x14ac:dyDescent="0.3">
      <c r="A210" s="8" t="s">
        <v>90</v>
      </c>
      <c r="B210" s="8" t="s">
        <v>91</v>
      </c>
      <c r="C210" s="7">
        <v>45315</v>
      </c>
      <c r="D210" s="8" t="s">
        <v>425</v>
      </c>
      <c r="E210" s="8" t="s">
        <v>549</v>
      </c>
      <c r="F210" s="8" t="s">
        <v>549</v>
      </c>
      <c r="G210" s="8" t="s">
        <v>550</v>
      </c>
      <c r="H210">
        <v>2588</v>
      </c>
      <c r="I210" s="9">
        <v>748.84</v>
      </c>
      <c r="J210" s="9"/>
      <c r="K210" s="9"/>
      <c r="L210" s="8" t="s">
        <v>93</v>
      </c>
      <c r="M210" s="8" t="s">
        <v>28</v>
      </c>
      <c r="N210" s="8" t="s">
        <v>56</v>
      </c>
      <c r="O210" s="8" t="s">
        <v>14</v>
      </c>
      <c r="P210" s="8" t="s">
        <v>57</v>
      </c>
      <c r="Q210" s="8" t="s">
        <v>549</v>
      </c>
      <c r="R210" s="8" t="s">
        <v>33</v>
      </c>
      <c r="S210" s="8" t="s">
        <v>530</v>
      </c>
      <c r="T210" s="8" t="s">
        <v>40</v>
      </c>
      <c r="U210" s="8" t="s">
        <v>426</v>
      </c>
      <c r="V210" s="8" t="s">
        <v>32</v>
      </c>
      <c r="W210" s="8" t="s">
        <v>33</v>
      </c>
      <c r="X210" s="8" t="s">
        <v>33</v>
      </c>
      <c r="Y210" s="8" t="s">
        <v>33</v>
      </c>
      <c r="Z210" s="8" t="s">
        <v>33</v>
      </c>
      <c r="AA210" s="8" t="s">
        <v>33</v>
      </c>
      <c r="AB210" s="8" t="s">
        <v>32</v>
      </c>
      <c r="AC210" s="8" t="s">
        <v>33</v>
      </c>
      <c r="AD210" s="8" t="s">
        <v>32</v>
      </c>
      <c r="AE210" s="8" t="s">
        <v>32</v>
      </c>
      <c r="AF210" s="4">
        <f t="shared" si="6"/>
        <v>2588</v>
      </c>
      <c r="AG210" s="4">
        <f t="shared" si="7"/>
        <v>748.84</v>
      </c>
      <c r="AH210" s="5" t="s">
        <v>185</v>
      </c>
      <c r="AI210" s="11" t="s">
        <v>218</v>
      </c>
      <c r="AJ210" s="11" t="s">
        <v>206</v>
      </c>
      <c r="AK210" s="11" t="s">
        <v>235</v>
      </c>
    </row>
    <row r="211" spans="1:37" x14ac:dyDescent="0.3">
      <c r="A211" s="8" t="s">
        <v>90</v>
      </c>
      <c r="B211" s="8" t="s">
        <v>91</v>
      </c>
      <c r="C211" s="7">
        <v>45315</v>
      </c>
      <c r="D211" s="8" t="s">
        <v>427</v>
      </c>
      <c r="E211" s="8" t="s">
        <v>549</v>
      </c>
      <c r="F211" s="8" t="s">
        <v>549</v>
      </c>
      <c r="G211" s="8" t="s">
        <v>550</v>
      </c>
      <c r="H211">
        <v>7941</v>
      </c>
      <c r="I211" s="9">
        <v>2297.7399999999998</v>
      </c>
      <c r="J211" s="9"/>
      <c r="K211" s="9"/>
      <c r="L211" s="8" t="s">
        <v>93</v>
      </c>
      <c r="M211" s="8" t="s">
        <v>28</v>
      </c>
      <c r="N211" s="8" t="s">
        <v>56</v>
      </c>
      <c r="O211" s="8" t="s">
        <v>14</v>
      </c>
      <c r="P211" s="8" t="s">
        <v>57</v>
      </c>
      <c r="Q211" s="8" t="s">
        <v>549</v>
      </c>
      <c r="R211" s="8" t="s">
        <v>33</v>
      </c>
      <c r="S211" s="8" t="s">
        <v>530</v>
      </c>
      <c r="T211" s="8" t="s">
        <v>40</v>
      </c>
      <c r="U211" s="8" t="s">
        <v>428</v>
      </c>
      <c r="V211" s="8" t="s">
        <v>32</v>
      </c>
      <c r="W211" s="8" t="s">
        <v>33</v>
      </c>
      <c r="X211" s="8" t="s">
        <v>33</v>
      </c>
      <c r="Y211" s="8" t="s">
        <v>33</v>
      </c>
      <c r="Z211" s="8" t="s">
        <v>33</v>
      </c>
      <c r="AA211" s="8" t="s">
        <v>33</v>
      </c>
      <c r="AB211" s="8" t="s">
        <v>32</v>
      </c>
      <c r="AC211" s="8" t="s">
        <v>33</v>
      </c>
      <c r="AD211" s="8" t="s">
        <v>32</v>
      </c>
      <c r="AE211" s="8" t="s">
        <v>32</v>
      </c>
      <c r="AF211" s="4">
        <f t="shared" si="6"/>
        <v>7941</v>
      </c>
      <c r="AG211" s="4">
        <f t="shared" si="7"/>
        <v>2297.7399999999998</v>
      </c>
      <c r="AH211" s="5" t="s">
        <v>185</v>
      </c>
      <c r="AI211" s="11" t="s">
        <v>218</v>
      </c>
      <c r="AJ211" s="11" t="s">
        <v>206</v>
      </c>
      <c r="AK211" s="11" t="s">
        <v>235</v>
      </c>
    </row>
    <row r="212" spans="1:37" x14ac:dyDescent="0.3">
      <c r="A212" s="8" t="s">
        <v>103</v>
      </c>
      <c r="B212" s="8" t="s">
        <v>104</v>
      </c>
      <c r="C212" s="7">
        <v>45315</v>
      </c>
      <c r="D212" s="8" t="s">
        <v>429</v>
      </c>
      <c r="E212" s="8" t="s">
        <v>549</v>
      </c>
      <c r="F212" s="8" t="s">
        <v>549</v>
      </c>
      <c r="G212" s="8" t="s">
        <v>550</v>
      </c>
      <c r="H212">
        <v>851</v>
      </c>
      <c r="I212" s="9">
        <v>246.24</v>
      </c>
      <c r="J212" s="9"/>
      <c r="K212" s="9"/>
      <c r="L212" s="8" t="s">
        <v>93</v>
      </c>
      <c r="M212" s="8" t="s">
        <v>28</v>
      </c>
      <c r="N212" s="8" t="s">
        <v>56</v>
      </c>
      <c r="O212" s="8" t="s">
        <v>14</v>
      </c>
      <c r="P212" s="8" t="s">
        <v>57</v>
      </c>
      <c r="Q212" s="8" t="s">
        <v>549</v>
      </c>
      <c r="R212" s="8" t="s">
        <v>33</v>
      </c>
      <c r="S212" s="8" t="s">
        <v>530</v>
      </c>
      <c r="T212" s="8" t="s">
        <v>40</v>
      </c>
      <c r="U212" s="8" t="s">
        <v>426</v>
      </c>
      <c r="V212" s="8" t="s">
        <v>32</v>
      </c>
      <c r="W212" s="8" t="s">
        <v>33</v>
      </c>
      <c r="X212" s="8" t="s">
        <v>33</v>
      </c>
      <c r="Y212" s="8" t="s">
        <v>33</v>
      </c>
      <c r="Z212" s="8" t="s">
        <v>33</v>
      </c>
      <c r="AA212" s="8" t="s">
        <v>33</v>
      </c>
      <c r="AB212" s="8" t="s">
        <v>32</v>
      </c>
      <c r="AC212" s="8" t="s">
        <v>33</v>
      </c>
      <c r="AD212" s="8" t="s">
        <v>32</v>
      </c>
      <c r="AE212" s="8" t="s">
        <v>32</v>
      </c>
      <c r="AF212" s="4">
        <f t="shared" si="6"/>
        <v>851</v>
      </c>
      <c r="AG212" s="4">
        <f t="shared" si="7"/>
        <v>246.24</v>
      </c>
      <c r="AH212" s="5" t="s">
        <v>185</v>
      </c>
      <c r="AI212" s="11" t="s">
        <v>232</v>
      </c>
      <c r="AJ212" s="11" t="s">
        <v>206</v>
      </c>
      <c r="AK212" s="11" t="s">
        <v>235</v>
      </c>
    </row>
    <row r="213" spans="1:37" x14ac:dyDescent="0.3">
      <c r="A213" s="8" t="s">
        <v>83</v>
      </c>
      <c r="B213" s="8" t="s">
        <v>84</v>
      </c>
      <c r="C213" s="7">
        <v>45316</v>
      </c>
      <c r="D213" s="8" t="s">
        <v>430</v>
      </c>
      <c r="E213" s="8" t="s">
        <v>549</v>
      </c>
      <c r="F213" s="8" t="s">
        <v>549</v>
      </c>
      <c r="G213" s="8" t="s">
        <v>550</v>
      </c>
      <c r="H213" s="9">
        <v>1859</v>
      </c>
      <c r="I213" s="9">
        <v>537.91</v>
      </c>
      <c r="L213" s="8" t="s">
        <v>105</v>
      </c>
      <c r="M213" s="8" t="s">
        <v>34</v>
      </c>
      <c r="N213" s="8" t="s">
        <v>41</v>
      </c>
      <c r="O213" s="8" t="s">
        <v>14</v>
      </c>
      <c r="P213" s="8" t="s">
        <v>42</v>
      </c>
      <c r="Q213" s="8" t="s">
        <v>549</v>
      </c>
      <c r="R213" s="8" t="s">
        <v>33</v>
      </c>
      <c r="S213" s="8" t="s">
        <v>530</v>
      </c>
      <c r="T213" s="8" t="s">
        <v>80</v>
      </c>
      <c r="U213" s="8" t="s">
        <v>32</v>
      </c>
      <c r="V213" s="8" t="s">
        <v>32</v>
      </c>
      <c r="W213" s="8" t="s">
        <v>33</v>
      </c>
      <c r="X213" s="8" t="s">
        <v>33</v>
      </c>
      <c r="Y213" s="8" t="s">
        <v>33</v>
      </c>
      <c r="Z213" s="8" t="s">
        <v>33</v>
      </c>
      <c r="AA213" s="8" t="s">
        <v>33</v>
      </c>
      <c r="AB213" s="8" t="s">
        <v>32</v>
      </c>
      <c r="AC213" s="8" t="s">
        <v>33</v>
      </c>
      <c r="AD213" s="8" t="s">
        <v>32</v>
      </c>
      <c r="AE213" s="8" t="s">
        <v>32</v>
      </c>
      <c r="AF213" s="4">
        <f t="shared" si="6"/>
        <v>1859</v>
      </c>
      <c r="AG213" s="4">
        <f t="shared" si="7"/>
        <v>537.91</v>
      </c>
      <c r="AH213" s="5" t="s">
        <v>185</v>
      </c>
      <c r="AI213" s="11" t="s">
        <v>213</v>
      </c>
      <c r="AJ213" s="11" t="s">
        <v>209</v>
      </c>
      <c r="AK213" s="11" t="s">
        <v>235</v>
      </c>
    </row>
    <row r="214" spans="1:37" x14ac:dyDescent="0.3">
      <c r="A214" s="8" t="s">
        <v>83</v>
      </c>
      <c r="B214" s="8" t="s">
        <v>84</v>
      </c>
      <c r="C214" s="7">
        <v>45316</v>
      </c>
      <c r="D214" s="8" t="s">
        <v>431</v>
      </c>
      <c r="E214" s="8" t="s">
        <v>549</v>
      </c>
      <c r="F214" s="8" t="s">
        <v>549</v>
      </c>
      <c r="G214" s="8" t="s">
        <v>550</v>
      </c>
      <c r="H214" s="9">
        <v>3872</v>
      </c>
      <c r="I214" s="9">
        <v>1120.3699999999999</v>
      </c>
      <c r="L214" s="8" t="s">
        <v>105</v>
      </c>
      <c r="M214" s="8" t="s">
        <v>34</v>
      </c>
      <c r="N214" s="8" t="s">
        <v>41</v>
      </c>
      <c r="O214" s="8" t="s">
        <v>14</v>
      </c>
      <c r="P214" s="8" t="s">
        <v>42</v>
      </c>
      <c r="Q214" s="8" t="s">
        <v>549</v>
      </c>
      <c r="R214" s="8" t="s">
        <v>33</v>
      </c>
      <c r="S214" s="8" t="s">
        <v>530</v>
      </c>
      <c r="T214" s="8" t="s">
        <v>80</v>
      </c>
      <c r="U214" s="8" t="s">
        <v>32</v>
      </c>
      <c r="V214" s="8" t="s">
        <v>32</v>
      </c>
      <c r="W214" s="8" t="s">
        <v>33</v>
      </c>
      <c r="X214" s="8" t="s">
        <v>33</v>
      </c>
      <c r="Y214" s="8" t="s">
        <v>33</v>
      </c>
      <c r="Z214" s="8" t="s">
        <v>33</v>
      </c>
      <c r="AA214" s="8" t="s">
        <v>33</v>
      </c>
      <c r="AB214" s="8" t="s">
        <v>32</v>
      </c>
      <c r="AC214" s="8" t="s">
        <v>33</v>
      </c>
      <c r="AD214" s="8" t="s">
        <v>32</v>
      </c>
      <c r="AE214" s="8" t="s">
        <v>32</v>
      </c>
      <c r="AF214" s="4">
        <f t="shared" si="6"/>
        <v>3872</v>
      </c>
      <c r="AG214" s="4">
        <f t="shared" si="7"/>
        <v>1120.3699999999999</v>
      </c>
      <c r="AH214" s="5" t="s">
        <v>185</v>
      </c>
      <c r="AI214" s="11" t="s">
        <v>213</v>
      </c>
      <c r="AJ214" s="11" t="s">
        <v>209</v>
      </c>
      <c r="AK214" s="11" t="s">
        <v>235</v>
      </c>
    </row>
    <row r="215" spans="1:37" x14ac:dyDescent="0.3">
      <c r="A215" s="8" t="s">
        <v>83</v>
      </c>
      <c r="B215" s="8" t="s">
        <v>84</v>
      </c>
      <c r="C215" s="7">
        <v>45316</v>
      </c>
      <c r="D215" s="8" t="s">
        <v>432</v>
      </c>
      <c r="E215" s="8" t="s">
        <v>549</v>
      </c>
      <c r="F215" s="8" t="s">
        <v>549</v>
      </c>
      <c r="G215" s="8" t="s">
        <v>550</v>
      </c>
      <c r="H215" s="9">
        <v>2294</v>
      </c>
      <c r="I215" s="9">
        <v>663.77</v>
      </c>
      <c r="L215" s="8" t="s">
        <v>105</v>
      </c>
      <c r="M215" s="8" t="s">
        <v>34</v>
      </c>
      <c r="N215" s="8" t="s">
        <v>41</v>
      </c>
      <c r="O215" s="8" t="s">
        <v>14</v>
      </c>
      <c r="P215" s="8" t="s">
        <v>42</v>
      </c>
      <c r="Q215" s="8" t="s">
        <v>549</v>
      </c>
      <c r="R215" s="8" t="s">
        <v>33</v>
      </c>
      <c r="S215" s="8" t="s">
        <v>530</v>
      </c>
      <c r="T215" s="8" t="s">
        <v>80</v>
      </c>
      <c r="U215" s="8" t="s">
        <v>32</v>
      </c>
      <c r="V215" s="8" t="s">
        <v>32</v>
      </c>
      <c r="W215" s="8" t="s">
        <v>33</v>
      </c>
      <c r="X215" s="8" t="s">
        <v>33</v>
      </c>
      <c r="Y215" s="8" t="s">
        <v>33</v>
      </c>
      <c r="Z215" s="8" t="s">
        <v>33</v>
      </c>
      <c r="AA215" s="8" t="s">
        <v>33</v>
      </c>
      <c r="AB215" s="8" t="s">
        <v>32</v>
      </c>
      <c r="AC215" s="8" t="s">
        <v>33</v>
      </c>
      <c r="AD215" s="8" t="s">
        <v>32</v>
      </c>
      <c r="AE215" s="8" t="s">
        <v>32</v>
      </c>
      <c r="AF215" s="4">
        <f t="shared" si="6"/>
        <v>2294</v>
      </c>
      <c r="AG215" s="4">
        <f t="shared" si="7"/>
        <v>663.77</v>
      </c>
      <c r="AH215" s="5" t="s">
        <v>185</v>
      </c>
      <c r="AI215" s="11" t="s">
        <v>213</v>
      </c>
      <c r="AJ215" s="11" t="s">
        <v>209</v>
      </c>
      <c r="AK215" s="11" t="s">
        <v>235</v>
      </c>
    </row>
    <row r="216" spans="1:37" x14ac:dyDescent="0.3">
      <c r="A216" s="8" t="s">
        <v>83</v>
      </c>
      <c r="B216" s="8" t="s">
        <v>84</v>
      </c>
      <c r="C216" s="7">
        <v>45316</v>
      </c>
      <c r="D216" s="8" t="s">
        <v>433</v>
      </c>
      <c r="E216" s="8" t="s">
        <v>549</v>
      </c>
      <c r="F216" s="8" t="s">
        <v>549</v>
      </c>
      <c r="G216" s="8" t="s">
        <v>550</v>
      </c>
      <c r="H216" s="9">
        <v>4011</v>
      </c>
      <c r="I216" s="9">
        <v>1160.5899999999999</v>
      </c>
      <c r="L216" s="8" t="s">
        <v>105</v>
      </c>
      <c r="M216" s="8" t="s">
        <v>34</v>
      </c>
      <c r="N216" s="8" t="s">
        <v>41</v>
      </c>
      <c r="O216" s="8" t="s">
        <v>14</v>
      </c>
      <c r="P216" s="8" t="s">
        <v>42</v>
      </c>
      <c r="Q216" s="8" t="s">
        <v>549</v>
      </c>
      <c r="R216" s="8" t="s">
        <v>33</v>
      </c>
      <c r="S216" s="8" t="s">
        <v>530</v>
      </c>
      <c r="T216" s="8" t="s">
        <v>80</v>
      </c>
      <c r="U216" s="8" t="s">
        <v>32</v>
      </c>
      <c r="V216" s="8" t="s">
        <v>32</v>
      </c>
      <c r="W216" s="8" t="s">
        <v>33</v>
      </c>
      <c r="X216" s="8" t="s">
        <v>33</v>
      </c>
      <c r="Y216" s="8" t="s">
        <v>33</v>
      </c>
      <c r="Z216" s="8" t="s">
        <v>33</v>
      </c>
      <c r="AA216" s="8" t="s">
        <v>33</v>
      </c>
      <c r="AB216" s="8" t="s">
        <v>32</v>
      </c>
      <c r="AC216" s="8" t="s">
        <v>33</v>
      </c>
      <c r="AD216" s="8" t="s">
        <v>32</v>
      </c>
      <c r="AE216" s="8" t="s">
        <v>32</v>
      </c>
      <c r="AF216" s="4">
        <f t="shared" si="6"/>
        <v>4011</v>
      </c>
      <c r="AG216" s="4">
        <f t="shared" si="7"/>
        <v>1160.5899999999999</v>
      </c>
      <c r="AH216" s="5" t="s">
        <v>185</v>
      </c>
      <c r="AI216" s="11" t="s">
        <v>213</v>
      </c>
      <c r="AJ216" s="11" t="s">
        <v>209</v>
      </c>
      <c r="AK216" s="11" t="s">
        <v>235</v>
      </c>
    </row>
    <row r="217" spans="1:37" x14ac:dyDescent="0.3">
      <c r="A217" s="8" t="s">
        <v>83</v>
      </c>
      <c r="B217" s="8" t="s">
        <v>84</v>
      </c>
      <c r="C217" s="7">
        <v>45316</v>
      </c>
      <c r="D217" s="8" t="s">
        <v>434</v>
      </c>
      <c r="E217" s="8" t="s">
        <v>549</v>
      </c>
      <c r="F217" s="8" t="s">
        <v>549</v>
      </c>
      <c r="G217" s="8" t="s">
        <v>550</v>
      </c>
      <c r="H217" s="9">
        <v>23</v>
      </c>
      <c r="I217" s="9">
        <v>6.66</v>
      </c>
      <c r="L217" s="8" t="s">
        <v>76</v>
      </c>
      <c r="M217" s="8" t="s">
        <v>34</v>
      </c>
      <c r="N217" s="8" t="s">
        <v>41</v>
      </c>
      <c r="O217" s="8" t="s">
        <v>14</v>
      </c>
      <c r="P217" s="8" t="s">
        <v>42</v>
      </c>
      <c r="Q217" s="8" t="s">
        <v>549</v>
      </c>
      <c r="R217" s="8" t="s">
        <v>33</v>
      </c>
      <c r="S217" s="8" t="s">
        <v>530</v>
      </c>
      <c r="T217" s="8" t="s">
        <v>80</v>
      </c>
      <c r="U217" s="8" t="s">
        <v>32</v>
      </c>
      <c r="V217" s="8" t="s">
        <v>32</v>
      </c>
      <c r="W217" s="8" t="s">
        <v>33</v>
      </c>
      <c r="X217" s="8" t="s">
        <v>33</v>
      </c>
      <c r="Y217" s="8" t="s">
        <v>33</v>
      </c>
      <c r="Z217" s="8" t="s">
        <v>33</v>
      </c>
      <c r="AA217" s="8" t="s">
        <v>33</v>
      </c>
      <c r="AB217" s="8" t="s">
        <v>32</v>
      </c>
      <c r="AC217" s="8" t="s">
        <v>33</v>
      </c>
      <c r="AD217" s="8" t="s">
        <v>32</v>
      </c>
      <c r="AE217" s="8" t="s">
        <v>32</v>
      </c>
      <c r="AF217" s="4">
        <f t="shared" si="6"/>
        <v>23</v>
      </c>
      <c r="AG217" s="4">
        <f t="shared" si="7"/>
        <v>6.66</v>
      </c>
      <c r="AH217" s="5" t="s">
        <v>185</v>
      </c>
      <c r="AI217" s="11" t="s">
        <v>213</v>
      </c>
      <c r="AJ217" s="11" t="s">
        <v>205</v>
      </c>
      <c r="AK217" s="11" t="s">
        <v>235</v>
      </c>
    </row>
    <row r="218" spans="1:37" x14ac:dyDescent="0.3">
      <c r="A218" s="8" t="s">
        <v>83</v>
      </c>
      <c r="B218" s="8" t="s">
        <v>84</v>
      </c>
      <c r="C218" s="7">
        <v>45316</v>
      </c>
      <c r="D218" s="8" t="s">
        <v>435</v>
      </c>
      <c r="E218" s="8" t="s">
        <v>549</v>
      </c>
      <c r="F218" s="8" t="s">
        <v>549</v>
      </c>
      <c r="G218" s="8" t="s">
        <v>550</v>
      </c>
      <c r="H218" s="9">
        <v>5684</v>
      </c>
      <c r="I218" s="9">
        <v>1644.68</v>
      </c>
      <c r="L218" s="8" t="s">
        <v>76</v>
      </c>
      <c r="M218" s="8" t="s">
        <v>34</v>
      </c>
      <c r="N218" s="8" t="s">
        <v>41</v>
      </c>
      <c r="O218" s="8" t="s">
        <v>14</v>
      </c>
      <c r="P218" s="8" t="s">
        <v>42</v>
      </c>
      <c r="Q218" s="8" t="s">
        <v>549</v>
      </c>
      <c r="R218" s="8" t="s">
        <v>33</v>
      </c>
      <c r="S218" s="8" t="s">
        <v>530</v>
      </c>
      <c r="T218" s="8" t="s">
        <v>80</v>
      </c>
      <c r="U218" s="8" t="s">
        <v>32</v>
      </c>
      <c r="V218" s="8" t="s">
        <v>32</v>
      </c>
      <c r="W218" s="8" t="s">
        <v>33</v>
      </c>
      <c r="X218" s="8" t="s">
        <v>33</v>
      </c>
      <c r="Y218" s="8" t="s">
        <v>33</v>
      </c>
      <c r="Z218" s="8" t="s">
        <v>33</v>
      </c>
      <c r="AA218" s="8" t="s">
        <v>33</v>
      </c>
      <c r="AB218" s="8" t="s">
        <v>32</v>
      </c>
      <c r="AC218" s="8" t="s">
        <v>33</v>
      </c>
      <c r="AD218" s="8" t="s">
        <v>32</v>
      </c>
      <c r="AE218" s="8" t="s">
        <v>32</v>
      </c>
      <c r="AF218" s="4">
        <f t="shared" si="6"/>
        <v>5684</v>
      </c>
      <c r="AG218" s="4">
        <f t="shared" si="7"/>
        <v>1644.68</v>
      </c>
      <c r="AH218" s="5" t="s">
        <v>185</v>
      </c>
      <c r="AI218" s="11" t="s">
        <v>213</v>
      </c>
      <c r="AJ218" s="11" t="s">
        <v>205</v>
      </c>
      <c r="AK218" s="11" t="s">
        <v>235</v>
      </c>
    </row>
    <row r="219" spans="1:37" x14ac:dyDescent="0.3">
      <c r="A219" s="8" t="s">
        <v>83</v>
      </c>
      <c r="B219" s="8" t="s">
        <v>84</v>
      </c>
      <c r="C219" s="7">
        <v>45316</v>
      </c>
      <c r="D219" s="8" t="s">
        <v>436</v>
      </c>
      <c r="E219" s="8" t="s">
        <v>549</v>
      </c>
      <c r="F219" s="8" t="s">
        <v>549</v>
      </c>
      <c r="G219" s="8" t="s">
        <v>550</v>
      </c>
      <c r="H219" s="9">
        <v>2547</v>
      </c>
      <c r="I219" s="9">
        <v>736.98</v>
      </c>
      <c r="L219" s="8" t="s">
        <v>76</v>
      </c>
      <c r="M219" s="8" t="s">
        <v>34</v>
      </c>
      <c r="N219" s="8" t="s">
        <v>41</v>
      </c>
      <c r="O219" s="8" t="s">
        <v>14</v>
      </c>
      <c r="P219" s="8" t="s">
        <v>42</v>
      </c>
      <c r="Q219" s="8" t="s">
        <v>549</v>
      </c>
      <c r="R219" s="8" t="s">
        <v>33</v>
      </c>
      <c r="S219" s="8" t="s">
        <v>530</v>
      </c>
      <c r="T219" s="8" t="s">
        <v>80</v>
      </c>
      <c r="U219" s="8" t="s">
        <v>32</v>
      </c>
      <c r="V219" s="8" t="s">
        <v>32</v>
      </c>
      <c r="W219" s="8" t="s">
        <v>33</v>
      </c>
      <c r="X219" s="8" t="s">
        <v>33</v>
      </c>
      <c r="Y219" s="8" t="s">
        <v>33</v>
      </c>
      <c r="Z219" s="8" t="s">
        <v>33</v>
      </c>
      <c r="AA219" s="8" t="s">
        <v>33</v>
      </c>
      <c r="AB219" s="8" t="s">
        <v>32</v>
      </c>
      <c r="AC219" s="8" t="s">
        <v>33</v>
      </c>
      <c r="AD219" s="8" t="s">
        <v>32</v>
      </c>
      <c r="AE219" s="8" t="s">
        <v>32</v>
      </c>
      <c r="AF219" s="4">
        <f t="shared" si="6"/>
        <v>2547</v>
      </c>
      <c r="AG219" s="4">
        <f t="shared" si="7"/>
        <v>736.98</v>
      </c>
      <c r="AH219" s="5" t="s">
        <v>185</v>
      </c>
      <c r="AI219" s="11" t="s">
        <v>213</v>
      </c>
      <c r="AJ219" s="11" t="s">
        <v>205</v>
      </c>
      <c r="AK219" s="11" t="s">
        <v>235</v>
      </c>
    </row>
    <row r="220" spans="1:37" x14ac:dyDescent="0.3">
      <c r="A220" s="8" t="s">
        <v>83</v>
      </c>
      <c r="B220" s="8" t="s">
        <v>84</v>
      </c>
      <c r="C220" s="7">
        <v>45316</v>
      </c>
      <c r="D220" s="8" t="s">
        <v>437</v>
      </c>
      <c r="E220" s="8" t="s">
        <v>549</v>
      </c>
      <c r="F220" s="8" t="s">
        <v>549</v>
      </c>
      <c r="G220" s="8" t="s">
        <v>550</v>
      </c>
      <c r="H220" s="9">
        <v>2892</v>
      </c>
      <c r="I220" s="9">
        <v>836.81</v>
      </c>
      <c r="L220" s="8" t="s">
        <v>76</v>
      </c>
      <c r="M220" s="8" t="s">
        <v>34</v>
      </c>
      <c r="N220" s="8" t="s">
        <v>41</v>
      </c>
      <c r="O220" s="8" t="s">
        <v>14</v>
      </c>
      <c r="P220" s="8" t="s">
        <v>42</v>
      </c>
      <c r="Q220" s="8" t="s">
        <v>549</v>
      </c>
      <c r="R220" s="8" t="s">
        <v>33</v>
      </c>
      <c r="S220" s="8" t="s">
        <v>530</v>
      </c>
      <c r="T220" s="8" t="s">
        <v>80</v>
      </c>
      <c r="U220" s="8" t="s">
        <v>32</v>
      </c>
      <c r="V220" s="8" t="s">
        <v>32</v>
      </c>
      <c r="W220" s="8" t="s">
        <v>33</v>
      </c>
      <c r="X220" s="8" t="s">
        <v>33</v>
      </c>
      <c r="Y220" s="8" t="s">
        <v>33</v>
      </c>
      <c r="Z220" s="8" t="s">
        <v>33</v>
      </c>
      <c r="AA220" s="8" t="s">
        <v>33</v>
      </c>
      <c r="AB220" s="8" t="s">
        <v>32</v>
      </c>
      <c r="AC220" s="8" t="s">
        <v>33</v>
      </c>
      <c r="AD220" s="8" t="s">
        <v>32</v>
      </c>
      <c r="AE220" s="8" t="s">
        <v>32</v>
      </c>
      <c r="AF220" s="4">
        <f t="shared" si="6"/>
        <v>2892</v>
      </c>
      <c r="AG220" s="4">
        <f t="shared" si="7"/>
        <v>836.81</v>
      </c>
      <c r="AH220" s="5" t="s">
        <v>185</v>
      </c>
      <c r="AI220" s="11" t="s">
        <v>213</v>
      </c>
      <c r="AJ220" s="11" t="s">
        <v>205</v>
      </c>
      <c r="AK220" s="11" t="s">
        <v>235</v>
      </c>
    </row>
    <row r="221" spans="1:37" x14ac:dyDescent="0.3">
      <c r="A221" s="8" t="s">
        <v>83</v>
      </c>
      <c r="B221" s="8" t="s">
        <v>84</v>
      </c>
      <c r="C221" s="7">
        <v>45316</v>
      </c>
      <c r="D221" s="8" t="s">
        <v>438</v>
      </c>
      <c r="E221" s="8" t="s">
        <v>549</v>
      </c>
      <c r="F221" s="8" t="s">
        <v>549</v>
      </c>
      <c r="G221" s="8" t="s">
        <v>550</v>
      </c>
      <c r="H221" s="9">
        <v>6627</v>
      </c>
      <c r="I221" s="9">
        <v>1917.53</v>
      </c>
      <c r="L221" s="8" t="s">
        <v>105</v>
      </c>
      <c r="M221" s="8" t="s">
        <v>34</v>
      </c>
      <c r="N221" s="8" t="s">
        <v>41</v>
      </c>
      <c r="O221" s="8" t="s">
        <v>14</v>
      </c>
      <c r="P221" s="8" t="s">
        <v>42</v>
      </c>
      <c r="Q221" s="8" t="s">
        <v>549</v>
      </c>
      <c r="R221" s="8" t="s">
        <v>33</v>
      </c>
      <c r="S221" s="8" t="s">
        <v>530</v>
      </c>
      <c r="T221" s="8" t="s">
        <v>80</v>
      </c>
      <c r="U221" s="8" t="s">
        <v>32</v>
      </c>
      <c r="V221" s="8" t="s">
        <v>32</v>
      </c>
      <c r="W221" s="8" t="s">
        <v>33</v>
      </c>
      <c r="X221" s="8" t="s">
        <v>33</v>
      </c>
      <c r="Y221" s="8" t="s">
        <v>33</v>
      </c>
      <c r="Z221" s="8" t="s">
        <v>33</v>
      </c>
      <c r="AA221" s="8" t="s">
        <v>33</v>
      </c>
      <c r="AB221" s="8" t="s">
        <v>32</v>
      </c>
      <c r="AC221" s="8" t="s">
        <v>33</v>
      </c>
      <c r="AD221" s="8" t="s">
        <v>32</v>
      </c>
      <c r="AE221" s="8" t="s">
        <v>32</v>
      </c>
      <c r="AF221" s="4">
        <f t="shared" si="6"/>
        <v>6627</v>
      </c>
      <c r="AG221" s="4">
        <f t="shared" si="7"/>
        <v>1917.53</v>
      </c>
      <c r="AH221" s="5" t="s">
        <v>185</v>
      </c>
      <c r="AI221" s="11" t="s">
        <v>213</v>
      </c>
      <c r="AJ221" s="11" t="s">
        <v>209</v>
      </c>
      <c r="AK221" s="11" t="s">
        <v>235</v>
      </c>
    </row>
    <row r="222" spans="1:37" x14ac:dyDescent="0.3">
      <c r="A222" s="8" t="s">
        <v>239</v>
      </c>
      <c r="B222" s="8" t="s">
        <v>240</v>
      </c>
      <c r="C222" s="7">
        <v>45316</v>
      </c>
      <c r="D222" s="8" t="s">
        <v>439</v>
      </c>
      <c r="E222" s="8" t="s">
        <v>549</v>
      </c>
      <c r="F222" s="8" t="s">
        <v>549</v>
      </c>
      <c r="G222" s="8" t="s">
        <v>550</v>
      </c>
      <c r="H222" s="9">
        <v>8029</v>
      </c>
      <c r="I222" s="9">
        <v>2323.21</v>
      </c>
      <c r="L222" s="8" t="s">
        <v>120</v>
      </c>
      <c r="M222" s="8" t="s">
        <v>34</v>
      </c>
      <c r="N222" s="8" t="s">
        <v>29</v>
      </c>
      <c r="O222" s="8" t="s">
        <v>14</v>
      </c>
      <c r="P222" s="8" t="s">
        <v>30</v>
      </c>
      <c r="Q222" s="8" t="s">
        <v>549</v>
      </c>
      <c r="R222" s="8" t="s">
        <v>33</v>
      </c>
      <c r="S222" s="8" t="s">
        <v>530</v>
      </c>
      <c r="T222" s="8" t="s">
        <v>31</v>
      </c>
      <c r="U222" s="8" t="s">
        <v>32</v>
      </c>
      <c r="V222" s="8" t="s">
        <v>32</v>
      </c>
      <c r="W222" s="8" t="s">
        <v>33</v>
      </c>
      <c r="X222" s="8" t="s">
        <v>33</v>
      </c>
      <c r="Y222" s="8" t="s">
        <v>33</v>
      </c>
      <c r="Z222" s="8" t="s">
        <v>33</v>
      </c>
      <c r="AA222" s="8" t="s">
        <v>33</v>
      </c>
      <c r="AB222" s="8" t="s">
        <v>32</v>
      </c>
      <c r="AC222" s="8" t="s">
        <v>33</v>
      </c>
      <c r="AD222" s="8" t="s">
        <v>32</v>
      </c>
      <c r="AE222" s="8" t="s">
        <v>32</v>
      </c>
      <c r="AF222" s="4">
        <f t="shared" si="6"/>
        <v>8029</v>
      </c>
      <c r="AG222" s="4">
        <f t="shared" si="7"/>
        <v>2323.21</v>
      </c>
      <c r="AH222" s="5" t="s">
        <v>184</v>
      </c>
      <c r="AI222" s="11" t="s">
        <v>551</v>
      </c>
      <c r="AJ222" s="11" t="s">
        <v>546</v>
      </c>
      <c r="AK222" s="11" t="s">
        <v>237</v>
      </c>
    </row>
    <row r="223" spans="1:37" x14ac:dyDescent="0.3">
      <c r="A223" s="8" t="s">
        <v>239</v>
      </c>
      <c r="B223" s="8" t="s">
        <v>240</v>
      </c>
      <c r="C223" s="7">
        <v>45316</v>
      </c>
      <c r="D223" s="8" t="s">
        <v>440</v>
      </c>
      <c r="E223" s="8" t="s">
        <v>549</v>
      </c>
      <c r="F223" s="8" t="s">
        <v>549</v>
      </c>
      <c r="G223" s="8" t="s">
        <v>550</v>
      </c>
      <c r="H223" s="9">
        <v>7721</v>
      </c>
      <c r="I223" s="9">
        <v>2234.09</v>
      </c>
      <c r="L223" s="8" t="s">
        <v>120</v>
      </c>
      <c r="M223" s="8" t="s">
        <v>34</v>
      </c>
      <c r="N223" s="8" t="s">
        <v>29</v>
      </c>
      <c r="O223" s="8" t="s">
        <v>14</v>
      </c>
      <c r="P223" s="8" t="s">
        <v>30</v>
      </c>
      <c r="Q223" s="8" t="s">
        <v>549</v>
      </c>
      <c r="R223" s="8" t="s">
        <v>33</v>
      </c>
      <c r="S223" s="8" t="s">
        <v>530</v>
      </c>
      <c r="T223" s="8" t="s">
        <v>31</v>
      </c>
      <c r="U223" s="8" t="s">
        <v>32</v>
      </c>
      <c r="V223" s="8" t="s">
        <v>32</v>
      </c>
      <c r="W223" s="8" t="s">
        <v>33</v>
      </c>
      <c r="X223" s="8" t="s">
        <v>33</v>
      </c>
      <c r="Y223" s="8" t="s">
        <v>33</v>
      </c>
      <c r="Z223" s="8" t="s">
        <v>33</v>
      </c>
      <c r="AA223" s="8" t="s">
        <v>33</v>
      </c>
      <c r="AB223" s="8" t="s">
        <v>32</v>
      </c>
      <c r="AC223" s="8" t="s">
        <v>33</v>
      </c>
      <c r="AD223" s="8" t="s">
        <v>32</v>
      </c>
      <c r="AE223" s="8" t="s">
        <v>32</v>
      </c>
      <c r="AF223" s="4">
        <f t="shared" si="6"/>
        <v>7721</v>
      </c>
      <c r="AG223" s="4">
        <f t="shared" si="7"/>
        <v>2234.09</v>
      </c>
      <c r="AH223" s="5" t="s">
        <v>184</v>
      </c>
      <c r="AI223" s="11" t="s">
        <v>551</v>
      </c>
      <c r="AJ223" s="11" t="s">
        <v>546</v>
      </c>
      <c r="AK223" s="11" t="s">
        <v>237</v>
      </c>
    </row>
    <row r="224" spans="1:37" x14ac:dyDescent="0.3">
      <c r="A224" s="8" t="s">
        <v>98</v>
      </c>
      <c r="B224" s="8" t="s">
        <v>99</v>
      </c>
      <c r="C224" s="7">
        <v>45316</v>
      </c>
      <c r="D224" s="8" t="s">
        <v>441</v>
      </c>
      <c r="E224" s="8" t="s">
        <v>549</v>
      </c>
      <c r="F224" s="8" t="s">
        <v>549</v>
      </c>
      <c r="G224" s="8" t="s">
        <v>550</v>
      </c>
      <c r="H224" s="9">
        <v>4006</v>
      </c>
      <c r="I224" s="9">
        <v>1159.1400000000001</v>
      </c>
      <c r="L224" s="8" t="s">
        <v>79</v>
      </c>
      <c r="M224" s="8" t="s">
        <v>34</v>
      </c>
      <c r="N224" s="8" t="s">
        <v>29</v>
      </c>
      <c r="O224" s="8" t="s">
        <v>14</v>
      </c>
      <c r="P224" s="8" t="s">
        <v>30</v>
      </c>
      <c r="Q224" s="8" t="s">
        <v>549</v>
      </c>
      <c r="R224" s="8" t="s">
        <v>33</v>
      </c>
      <c r="S224" s="8" t="s">
        <v>530</v>
      </c>
      <c r="T224" s="8" t="s">
        <v>31</v>
      </c>
      <c r="U224" s="8" t="s">
        <v>32</v>
      </c>
      <c r="V224" s="8" t="s">
        <v>32</v>
      </c>
      <c r="W224" s="8" t="s">
        <v>33</v>
      </c>
      <c r="X224" s="8" t="s">
        <v>33</v>
      </c>
      <c r="Y224" s="8" t="s">
        <v>33</v>
      </c>
      <c r="Z224" s="8" t="s">
        <v>33</v>
      </c>
      <c r="AA224" s="8" t="s">
        <v>33</v>
      </c>
      <c r="AB224" s="8" t="s">
        <v>32</v>
      </c>
      <c r="AC224" s="8" t="s">
        <v>33</v>
      </c>
      <c r="AD224" s="8" t="s">
        <v>32</v>
      </c>
      <c r="AE224" s="8" t="s">
        <v>32</v>
      </c>
      <c r="AF224" s="4">
        <f t="shared" si="6"/>
        <v>4006</v>
      </c>
      <c r="AG224" s="4">
        <f t="shared" si="7"/>
        <v>1159.1400000000001</v>
      </c>
      <c r="AH224" s="5" t="s">
        <v>185</v>
      </c>
      <c r="AI224" s="11" t="s">
        <v>219</v>
      </c>
      <c r="AJ224" s="11" t="s">
        <v>542</v>
      </c>
      <c r="AK224" s="11" t="s">
        <v>238</v>
      </c>
    </row>
    <row r="225" spans="1:37" x14ac:dyDescent="0.3">
      <c r="A225" s="8" t="s">
        <v>150</v>
      </c>
      <c r="B225" s="8" t="s">
        <v>151</v>
      </c>
      <c r="C225" s="7">
        <v>45316</v>
      </c>
      <c r="D225" s="8" t="s">
        <v>442</v>
      </c>
      <c r="E225" s="8" t="s">
        <v>549</v>
      </c>
      <c r="F225" s="8" t="s">
        <v>549</v>
      </c>
      <c r="G225" s="8" t="s">
        <v>550</v>
      </c>
      <c r="H225" s="9">
        <v>1095</v>
      </c>
      <c r="I225" s="9">
        <v>316.83999999999997</v>
      </c>
      <c r="L225" s="8" t="s">
        <v>119</v>
      </c>
      <c r="M225" s="8" t="s">
        <v>34</v>
      </c>
      <c r="N225" s="8" t="s">
        <v>35</v>
      </c>
      <c r="O225" s="8" t="s">
        <v>14</v>
      </c>
      <c r="P225" s="8" t="s">
        <v>36</v>
      </c>
      <c r="Q225" s="8" t="s">
        <v>549</v>
      </c>
      <c r="R225" s="8" t="s">
        <v>33</v>
      </c>
      <c r="S225" s="8" t="s">
        <v>530</v>
      </c>
      <c r="T225" s="8" t="s">
        <v>37</v>
      </c>
      <c r="U225" s="8" t="s">
        <v>32</v>
      </c>
      <c r="V225" s="8" t="s">
        <v>32</v>
      </c>
      <c r="W225" s="8" t="s">
        <v>33</v>
      </c>
      <c r="X225" s="8" t="s">
        <v>33</v>
      </c>
      <c r="Y225" s="8" t="s">
        <v>33</v>
      </c>
      <c r="Z225" s="8" t="s">
        <v>33</v>
      </c>
      <c r="AA225" s="8" t="s">
        <v>33</v>
      </c>
      <c r="AB225" s="8" t="s">
        <v>32</v>
      </c>
      <c r="AC225" s="8" t="s">
        <v>33</v>
      </c>
      <c r="AD225" s="8" t="s">
        <v>32</v>
      </c>
      <c r="AE225" s="8" t="s">
        <v>32</v>
      </c>
      <c r="AF225" s="4">
        <f t="shared" si="6"/>
        <v>1095</v>
      </c>
      <c r="AG225" s="4">
        <f t="shared" si="7"/>
        <v>316.83999999999997</v>
      </c>
      <c r="AH225" s="5" t="s">
        <v>184</v>
      </c>
      <c r="AI225" s="11" t="s">
        <v>551</v>
      </c>
      <c r="AJ225" s="11" t="s">
        <v>541</v>
      </c>
      <c r="AK225" s="11" t="s">
        <v>237</v>
      </c>
    </row>
    <row r="226" spans="1:37" x14ac:dyDescent="0.3">
      <c r="A226" s="8" t="s">
        <v>107</v>
      </c>
      <c r="B226" s="8" t="s">
        <v>108</v>
      </c>
      <c r="C226" s="7">
        <v>45316</v>
      </c>
      <c r="D226" s="8" t="s">
        <v>443</v>
      </c>
      <c r="E226" s="8" t="s">
        <v>549</v>
      </c>
      <c r="F226" s="8" t="s">
        <v>549</v>
      </c>
      <c r="G226" s="8" t="s">
        <v>550</v>
      </c>
      <c r="H226" s="9">
        <v>3330</v>
      </c>
      <c r="I226" s="9">
        <v>963.54</v>
      </c>
      <c r="L226" s="8" t="s">
        <v>198</v>
      </c>
      <c r="M226" s="8" t="s">
        <v>34</v>
      </c>
      <c r="N226" s="8" t="s">
        <v>35</v>
      </c>
      <c r="O226" s="8" t="s">
        <v>14</v>
      </c>
      <c r="P226" s="8" t="s">
        <v>36</v>
      </c>
      <c r="Q226" s="8" t="s">
        <v>549</v>
      </c>
      <c r="R226" s="8" t="s">
        <v>33</v>
      </c>
      <c r="S226" s="8" t="s">
        <v>530</v>
      </c>
      <c r="T226" s="8" t="s">
        <v>37</v>
      </c>
      <c r="U226" s="8" t="s">
        <v>32</v>
      </c>
      <c r="V226" s="8" t="s">
        <v>32</v>
      </c>
      <c r="W226" s="8" t="s">
        <v>33</v>
      </c>
      <c r="X226" s="8" t="s">
        <v>33</v>
      </c>
      <c r="Y226" s="8" t="s">
        <v>33</v>
      </c>
      <c r="Z226" s="8" t="s">
        <v>33</v>
      </c>
      <c r="AA226" s="8" t="s">
        <v>33</v>
      </c>
      <c r="AB226" s="8" t="s">
        <v>32</v>
      </c>
      <c r="AC226" s="8" t="s">
        <v>33</v>
      </c>
      <c r="AD226" s="8" t="s">
        <v>32</v>
      </c>
      <c r="AE226" s="8" t="s">
        <v>32</v>
      </c>
      <c r="AF226" s="4">
        <f t="shared" si="6"/>
        <v>3330</v>
      </c>
      <c r="AG226" s="4">
        <f t="shared" si="7"/>
        <v>963.54</v>
      </c>
      <c r="AH226" s="5" t="s">
        <v>185</v>
      </c>
      <c r="AI226" s="11" t="s">
        <v>554</v>
      </c>
      <c r="AJ226" s="11" t="s">
        <v>521</v>
      </c>
      <c r="AK226" s="11" t="s">
        <v>236</v>
      </c>
    </row>
    <row r="227" spans="1:37" x14ac:dyDescent="0.3">
      <c r="A227" s="8" t="s">
        <v>107</v>
      </c>
      <c r="B227" s="8" t="s">
        <v>108</v>
      </c>
      <c r="C227" s="7">
        <v>45316</v>
      </c>
      <c r="D227" s="8" t="s">
        <v>444</v>
      </c>
      <c r="E227" s="8" t="s">
        <v>549</v>
      </c>
      <c r="F227" s="8" t="s">
        <v>549</v>
      </c>
      <c r="G227" s="8" t="s">
        <v>550</v>
      </c>
      <c r="H227" s="9">
        <v>2313</v>
      </c>
      <c r="I227" s="9">
        <v>669.27</v>
      </c>
      <c r="L227" s="8" t="s">
        <v>198</v>
      </c>
      <c r="M227" s="8" t="s">
        <v>34</v>
      </c>
      <c r="N227" s="8" t="s">
        <v>35</v>
      </c>
      <c r="O227" s="8" t="s">
        <v>14</v>
      </c>
      <c r="P227" s="8" t="s">
        <v>36</v>
      </c>
      <c r="Q227" s="8" t="s">
        <v>549</v>
      </c>
      <c r="R227" s="8" t="s">
        <v>33</v>
      </c>
      <c r="S227" s="8" t="s">
        <v>530</v>
      </c>
      <c r="T227" s="8" t="s">
        <v>37</v>
      </c>
      <c r="U227" s="8" t="s">
        <v>32</v>
      </c>
      <c r="V227" s="8" t="s">
        <v>32</v>
      </c>
      <c r="W227" s="8" t="s">
        <v>33</v>
      </c>
      <c r="X227" s="8" t="s">
        <v>33</v>
      </c>
      <c r="Y227" s="8" t="s">
        <v>33</v>
      </c>
      <c r="Z227" s="8" t="s">
        <v>33</v>
      </c>
      <c r="AA227" s="8" t="s">
        <v>33</v>
      </c>
      <c r="AB227" s="8" t="s">
        <v>32</v>
      </c>
      <c r="AC227" s="8" t="s">
        <v>33</v>
      </c>
      <c r="AD227" s="8" t="s">
        <v>32</v>
      </c>
      <c r="AE227" s="8" t="s">
        <v>32</v>
      </c>
      <c r="AF227" s="4">
        <f t="shared" si="6"/>
        <v>2313</v>
      </c>
      <c r="AG227" s="4">
        <f t="shared" si="7"/>
        <v>669.27</v>
      </c>
      <c r="AH227" s="5" t="s">
        <v>185</v>
      </c>
      <c r="AI227" s="11" t="s">
        <v>554</v>
      </c>
      <c r="AJ227" s="11" t="s">
        <v>521</v>
      </c>
      <c r="AK227" s="11" t="s">
        <v>236</v>
      </c>
    </row>
    <row r="228" spans="1:37" x14ac:dyDescent="0.3">
      <c r="A228" s="8" t="s">
        <v>107</v>
      </c>
      <c r="B228" s="8" t="s">
        <v>108</v>
      </c>
      <c r="C228" s="7">
        <v>45316</v>
      </c>
      <c r="D228" s="8" t="s">
        <v>445</v>
      </c>
      <c r="E228" s="8" t="s">
        <v>549</v>
      </c>
      <c r="F228" s="8" t="s">
        <v>549</v>
      </c>
      <c r="G228" s="8" t="s">
        <v>550</v>
      </c>
      <c r="H228" s="9">
        <v>2703</v>
      </c>
      <c r="I228" s="9">
        <v>782.12</v>
      </c>
      <c r="L228" s="8" t="s">
        <v>198</v>
      </c>
      <c r="M228" s="8" t="s">
        <v>28</v>
      </c>
      <c r="N228" s="8" t="s">
        <v>35</v>
      </c>
      <c r="O228" s="8" t="s">
        <v>14</v>
      </c>
      <c r="P228" s="8" t="s">
        <v>36</v>
      </c>
      <c r="Q228" s="8" t="s">
        <v>549</v>
      </c>
      <c r="R228" s="8" t="s">
        <v>33</v>
      </c>
      <c r="S228" s="8" t="s">
        <v>530</v>
      </c>
      <c r="T228" s="8" t="s">
        <v>37</v>
      </c>
      <c r="U228" s="8" t="s">
        <v>32</v>
      </c>
      <c r="V228" s="8" t="s">
        <v>32</v>
      </c>
      <c r="W228" s="8" t="s">
        <v>33</v>
      </c>
      <c r="X228" s="8" t="s">
        <v>33</v>
      </c>
      <c r="Y228" s="8" t="s">
        <v>33</v>
      </c>
      <c r="Z228" s="8" t="s">
        <v>33</v>
      </c>
      <c r="AA228" s="8" t="s">
        <v>33</v>
      </c>
      <c r="AB228" s="8" t="s">
        <v>32</v>
      </c>
      <c r="AC228" s="8" t="s">
        <v>33</v>
      </c>
      <c r="AD228" s="8" t="s">
        <v>32</v>
      </c>
      <c r="AE228" s="8" t="s">
        <v>32</v>
      </c>
      <c r="AF228" s="4">
        <f t="shared" si="6"/>
        <v>2703</v>
      </c>
      <c r="AG228" s="4">
        <f t="shared" si="7"/>
        <v>782.12</v>
      </c>
      <c r="AH228" s="5" t="s">
        <v>185</v>
      </c>
      <c r="AI228" s="11" t="s">
        <v>554</v>
      </c>
      <c r="AJ228" s="11" t="s">
        <v>521</v>
      </c>
      <c r="AK228" s="11" t="s">
        <v>236</v>
      </c>
    </row>
    <row r="229" spans="1:37" x14ac:dyDescent="0.3">
      <c r="A229" s="8" t="s">
        <v>150</v>
      </c>
      <c r="B229" s="8" t="s">
        <v>151</v>
      </c>
      <c r="C229" s="7">
        <v>45316</v>
      </c>
      <c r="D229" s="8" t="s">
        <v>446</v>
      </c>
      <c r="E229" s="8" t="s">
        <v>549</v>
      </c>
      <c r="F229" s="8" t="s">
        <v>549</v>
      </c>
      <c r="G229" s="8" t="s">
        <v>550</v>
      </c>
      <c r="H229" s="9">
        <v>7372</v>
      </c>
      <c r="I229" s="9">
        <v>2133.1</v>
      </c>
      <c r="L229" s="8" t="s">
        <v>119</v>
      </c>
      <c r="M229" s="8" t="s">
        <v>28</v>
      </c>
      <c r="N229" s="8" t="s">
        <v>35</v>
      </c>
      <c r="O229" s="8" t="s">
        <v>14</v>
      </c>
      <c r="P229" s="8" t="s">
        <v>36</v>
      </c>
      <c r="Q229" s="8" t="s">
        <v>549</v>
      </c>
      <c r="R229" s="8" t="s">
        <v>33</v>
      </c>
      <c r="S229" s="8" t="s">
        <v>530</v>
      </c>
      <c r="T229" s="8" t="s">
        <v>37</v>
      </c>
      <c r="U229" s="8" t="s">
        <v>32</v>
      </c>
      <c r="V229" s="8" t="s">
        <v>32</v>
      </c>
      <c r="W229" s="8" t="s">
        <v>33</v>
      </c>
      <c r="X229" s="8" t="s">
        <v>33</v>
      </c>
      <c r="Y229" s="8" t="s">
        <v>33</v>
      </c>
      <c r="Z229" s="8" t="s">
        <v>33</v>
      </c>
      <c r="AA229" s="8" t="s">
        <v>33</v>
      </c>
      <c r="AB229" s="8" t="s">
        <v>32</v>
      </c>
      <c r="AC229" s="8" t="s">
        <v>33</v>
      </c>
      <c r="AD229" s="8" t="s">
        <v>32</v>
      </c>
      <c r="AE229" s="8" t="s">
        <v>32</v>
      </c>
      <c r="AF229" s="4">
        <f t="shared" si="6"/>
        <v>7372</v>
      </c>
      <c r="AG229" s="4">
        <f t="shared" si="7"/>
        <v>2133.1</v>
      </c>
      <c r="AH229" s="5" t="s">
        <v>184</v>
      </c>
      <c r="AI229" s="11" t="s">
        <v>551</v>
      </c>
      <c r="AJ229" s="11" t="s">
        <v>541</v>
      </c>
      <c r="AK229" s="11" t="s">
        <v>237</v>
      </c>
    </row>
    <row r="230" spans="1:37" x14ac:dyDescent="0.3">
      <c r="A230" s="8" t="s">
        <v>150</v>
      </c>
      <c r="B230" s="8" t="s">
        <v>151</v>
      </c>
      <c r="C230" s="7">
        <v>45316</v>
      </c>
      <c r="D230" s="8" t="s">
        <v>447</v>
      </c>
      <c r="E230" s="8" t="s">
        <v>549</v>
      </c>
      <c r="F230" s="8" t="s">
        <v>549</v>
      </c>
      <c r="G230" s="8" t="s">
        <v>550</v>
      </c>
      <c r="H230" s="9">
        <v>5061</v>
      </c>
      <c r="I230" s="9">
        <v>1464.41</v>
      </c>
      <c r="L230" s="8" t="s">
        <v>119</v>
      </c>
      <c r="M230" s="8" t="s">
        <v>34</v>
      </c>
      <c r="N230" s="8" t="s">
        <v>35</v>
      </c>
      <c r="O230" s="8" t="s">
        <v>14</v>
      </c>
      <c r="P230" s="8" t="s">
        <v>36</v>
      </c>
      <c r="Q230" s="8" t="s">
        <v>549</v>
      </c>
      <c r="R230" s="8" t="s">
        <v>33</v>
      </c>
      <c r="S230" s="8" t="s">
        <v>530</v>
      </c>
      <c r="T230" s="8" t="s">
        <v>37</v>
      </c>
      <c r="U230" s="8" t="s">
        <v>32</v>
      </c>
      <c r="V230" s="8" t="s">
        <v>32</v>
      </c>
      <c r="W230" s="8" t="s">
        <v>33</v>
      </c>
      <c r="X230" s="8" t="s">
        <v>33</v>
      </c>
      <c r="Y230" s="8" t="s">
        <v>33</v>
      </c>
      <c r="Z230" s="8" t="s">
        <v>33</v>
      </c>
      <c r="AA230" s="8" t="s">
        <v>33</v>
      </c>
      <c r="AB230" s="8" t="s">
        <v>32</v>
      </c>
      <c r="AC230" s="8" t="s">
        <v>33</v>
      </c>
      <c r="AD230" s="8" t="s">
        <v>32</v>
      </c>
      <c r="AE230" s="8" t="s">
        <v>32</v>
      </c>
      <c r="AF230" s="4">
        <f t="shared" si="6"/>
        <v>5061</v>
      </c>
      <c r="AG230" s="4">
        <f t="shared" si="7"/>
        <v>1464.41</v>
      </c>
      <c r="AH230" s="5" t="s">
        <v>184</v>
      </c>
      <c r="AI230" s="11" t="s">
        <v>551</v>
      </c>
      <c r="AJ230" s="11" t="s">
        <v>541</v>
      </c>
      <c r="AK230" s="11" t="s">
        <v>237</v>
      </c>
    </row>
    <row r="231" spans="1:37" x14ac:dyDescent="0.3">
      <c r="A231" s="8" t="s">
        <v>160</v>
      </c>
      <c r="B231" s="8" t="s">
        <v>161</v>
      </c>
      <c r="C231" s="7">
        <v>45316</v>
      </c>
      <c r="D231" s="8" t="s">
        <v>448</v>
      </c>
      <c r="E231" s="8" t="s">
        <v>549</v>
      </c>
      <c r="F231" s="8" t="s">
        <v>549</v>
      </c>
      <c r="G231" s="8" t="s">
        <v>550</v>
      </c>
      <c r="H231" s="9">
        <v>4194</v>
      </c>
      <c r="I231" s="9">
        <v>1213.54</v>
      </c>
      <c r="L231" s="8" t="s">
        <v>119</v>
      </c>
      <c r="M231" s="8" t="s">
        <v>28</v>
      </c>
      <c r="N231" s="8" t="s">
        <v>35</v>
      </c>
      <c r="O231" s="8" t="s">
        <v>14</v>
      </c>
      <c r="P231" s="8" t="s">
        <v>36</v>
      </c>
      <c r="Q231" s="8" t="s">
        <v>549</v>
      </c>
      <c r="R231" s="8" t="s">
        <v>33</v>
      </c>
      <c r="S231" s="8" t="s">
        <v>530</v>
      </c>
      <c r="T231" s="8" t="s">
        <v>37</v>
      </c>
      <c r="U231" s="8" t="s">
        <v>32</v>
      </c>
      <c r="V231" s="8" t="s">
        <v>32</v>
      </c>
      <c r="W231" s="8" t="s">
        <v>33</v>
      </c>
      <c r="X231" s="8" t="s">
        <v>33</v>
      </c>
      <c r="Y231" s="8" t="s">
        <v>33</v>
      </c>
      <c r="Z231" s="8" t="s">
        <v>33</v>
      </c>
      <c r="AA231" s="8" t="s">
        <v>33</v>
      </c>
      <c r="AB231" s="8" t="s">
        <v>32</v>
      </c>
      <c r="AC231" s="8" t="s">
        <v>33</v>
      </c>
      <c r="AD231" s="8" t="s">
        <v>32</v>
      </c>
      <c r="AE231" s="8" t="s">
        <v>32</v>
      </c>
      <c r="AF231" s="4">
        <f t="shared" si="6"/>
        <v>4194</v>
      </c>
      <c r="AG231" s="4">
        <f t="shared" si="7"/>
        <v>1213.54</v>
      </c>
      <c r="AH231" s="5" t="s">
        <v>184</v>
      </c>
      <c r="AI231" s="11" t="s">
        <v>216</v>
      </c>
      <c r="AJ231" s="11" t="s">
        <v>541</v>
      </c>
      <c r="AK231" s="11" t="s">
        <v>237</v>
      </c>
    </row>
    <row r="232" spans="1:37" x14ac:dyDescent="0.3">
      <c r="A232" s="8" t="s">
        <v>150</v>
      </c>
      <c r="B232" s="8" t="s">
        <v>151</v>
      </c>
      <c r="C232" s="7">
        <v>45316</v>
      </c>
      <c r="D232" s="8" t="s">
        <v>449</v>
      </c>
      <c r="E232" s="8" t="s">
        <v>549</v>
      </c>
      <c r="F232" s="8" t="s">
        <v>549</v>
      </c>
      <c r="G232" s="8" t="s">
        <v>550</v>
      </c>
      <c r="H232" s="9">
        <v>3785</v>
      </c>
      <c r="I232" s="9">
        <v>1095.2</v>
      </c>
      <c r="L232" s="8" t="s">
        <v>119</v>
      </c>
      <c r="M232" s="8" t="s">
        <v>34</v>
      </c>
      <c r="N232" s="8" t="s">
        <v>35</v>
      </c>
      <c r="O232" s="8" t="s">
        <v>14</v>
      </c>
      <c r="P232" s="8" t="s">
        <v>36</v>
      </c>
      <c r="Q232" s="8" t="s">
        <v>549</v>
      </c>
      <c r="R232" s="8" t="s">
        <v>33</v>
      </c>
      <c r="S232" s="8" t="s">
        <v>530</v>
      </c>
      <c r="T232" s="8" t="s">
        <v>37</v>
      </c>
      <c r="U232" s="8" t="s">
        <v>32</v>
      </c>
      <c r="V232" s="8" t="s">
        <v>32</v>
      </c>
      <c r="W232" s="8" t="s">
        <v>33</v>
      </c>
      <c r="X232" s="8" t="s">
        <v>33</v>
      </c>
      <c r="Y232" s="8" t="s">
        <v>33</v>
      </c>
      <c r="Z232" s="8" t="s">
        <v>33</v>
      </c>
      <c r="AA232" s="8" t="s">
        <v>33</v>
      </c>
      <c r="AB232" s="8" t="s">
        <v>32</v>
      </c>
      <c r="AC232" s="8" t="s">
        <v>33</v>
      </c>
      <c r="AD232" s="8" t="s">
        <v>32</v>
      </c>
      <c r="AE232" s="8" t="s">
        <v>32</v>
      </c>
      <c r="AF232" s="4">
        <f t="shared" si="6"/>
        <v>3785</v>
      </c>
      <c r="AG232" s="4">
        <f t="shared" si="7"/>
        <v>1095.2</v>
      </c>
      <c r="AH232" s="5" t="s">
        <v>184</v>
      </c>
      <c r="AI232" s="11" t="s">
        <v>551</v>
      </c>
      <c r="AJ232" s="11" t="s">
        <v>541</v>
      </c>
      <c r="AK232" s="11" t="s">
        <v>237</v>
      </c>
    </row>
    <row r="233" spans="1:37" x14ac:dyDescent="0.3">
      <c r="A233" s="8" t="s">
        <v>150</v>
      </c>
      <c r="B233" s="8" t="s">
        <v>151</v>
      </c>
      <c r="C233" s="7">
        <v>45316</v>
      </c>
      <c r="D233" s="8" t="s">
        <v>450</v>
      </c>
      <c r="E233" s="8" t="s">
        <v>549</v>
      </c>
      <c r="F233" s="8" t="s">
        <v>549</v>
      </c>
      <c r="G233" s="8" t="s">
        <v>550</v>
      </c>
      <c r="H233" s="9">
        <v>1755</v>
      </c>
      <c r="I233" s="9">
        <v>507.81</v>
      </c>
      <c r="L233" s="8" t="s">
        <v>119</v>
      </c>
      <c r="M233" s="8" t="s">
        <v>34</v>
      </c>
      <c r="N233" s="8" t="s">
        <v>35</v>
      </c>
      <c r="O233" s="8" t="s">
        <v>14</v>
      </c>
      <c r="P233" s="8" t="s">
        <v>36</v>
      </c>
      <c r="Q233" s="8" t="s">
        <v>549</v>
      </c>
      <c r="R233" s="8" t="s">
        <v>33</v>
      </c>
      <c r="S233" s="8" t="s">
        <v>530</v>
      </c>
      <c r="T233" s="8" t="s">
        <v>37</v>
      </c>
      <c r="U233" s="8" t="s">
        <v>32</v>
      </c>
      <c r="V233" s="8" t="s">
        <v>32</v>
      </c>
      <c r="W233" s="8" t="s">
        <v>33</v>
      </c>
      <c r="X233" s="8" t="s">
        <v>33</v>
      </c>
      <c r="Y233" s="8" t="s">
        <v>33</v>
      </c>
      <c r="Z233" s="8" t="s">
        <v>33</v>
      </c>
      <c r="AA233" s="8" t="s">
        <v>33</v>
      </c>
      <c r="AB233" s="8" t="s">
        <v>32</v>
      </c>
      <c r="AC233" s="8" t="s">
        <v>33</v>
      </c>
      <c r="AD233" s="8" t="s">
        <v>32</v>
      </c>
      <c r="AE233" s="8" t="s">
        <v>32</v>
      </c>
      <c r="AF233" s="4">
        <f t="shared" si="6"/>
        <v>1755</v>
      </c>
      <c r="AG233" s="4">
        <f t="shared" si="7"/>
        <v>507.81</v>
      </c>
      <c r="AH233" s="5" t="s">
        <v>184</v>
      </c>
      <c r="AI233" s="11" t="s">
        <v>551</v>
      </c>
      <c r="AJ233" s="11" t="s">
        <v>541</v>
      </c>
      <c r="AK233" s="11" t="s">
        <v>237</v>
      </c>
    </row>
    <row r="234" spans="1:37" x14ac:dyDescent="0.3">
      <c r="A234" s="8" t="s">
        <v>83</v>
      </c>
      <c r="B234" s="8" t="s">
        <v>84</v>
      </c>
      <c r="C234" s="7">
        <v>45317</v>
      </c>
      <c r="D234" s="8" t="s">
        <v>451</v>
      </c>
      <c r="E234" s="8" t="s">
        <v>549</v>
      </c>
      <c r="F234" s="8" t="s">
        <v>549</v>
      </c>
      <c r="G234" s="8" t="s">
        <v>550</v>
      </c>
      <c r="H234" s="9">
        <v>6418</v>
      </c>
      <c r="I234" s="9">
        <v>1857.06</v>
      </c>
      <c r="L234" s="8" t="s">
        <v>105</v>
      </c>
      <c r="M234" s="8" t="s">
        <v>34</v>
      </c>
      <c r="N234" s="8" t="s">
        <v>41</v>
      </c>
      <c r="O234" s="8" t="s">
        <v>14</v>
      </c>
      <c r="P234" s="8" t="s">
        <v>42</v>
      </c>
      <c r="Q234" s="8" t="s">
        <v>549</v>
      </c>
      <c r="R234" s="8" t="s">
        <v>33</v>
      </c>
      <c r="S234" s="8" t="s">
        <v>530</v>
      </c>
      <c r="T234" s="8" t="s">
        <v>80</v>
      </c>
      <c r="U234" s="8" t="s">
        <v>32</v>
      </c>
      <c r="V234" s="8" t="s">
        <v>32</v>
      </c>
      <c r="W234" s="8" t="s">
        <v>33</v>
      </c>
      <c r="X234" s="8" t="s">
        <v>33</v>
      </c>
      <c r="Y234" s="8" t="s">
        <v>33</v>
      </c>
      <c r="Z234" s="8" t="s">
        <v>33</v>
      </c>
      <c r="AA234" s="8" t="s">
        <v>33</v>
      </c>
      <c r="AB234" s="8" t="s">
        <v>32</v>
      </c>
      <c r="AC234" s="8" t="s">
        <v>33</v>
      </c>
      <c r="AD234" s="8" t="s">
        <v>32</v>
      </c>
      <c r="AE234" s="8" t="s">
        <v>32</v>
      </c>
      <c r="AF234" s="4">
        <f t="shared" si="6"/>
        <v>6418</v>
      </c>
      <c r="AG234" s="4">
        <f t="shared" si="7"/>
        <v>1857.06</v>
      </c>
      <c r="AH234" s="5" t="s">
        <v>185</v>
      </c>
      <c r="AI234" s="11" t="s">
        <v>213</v>
      </c>
      <c r="AJ234" s="11" t="s">
        <v>209</v>
      </c>
      <c r="AK234" s="11" t="s">
        <v>235</v>
      </c>
    </row>
    <row r="235" spans="1:37" x14ac:dyDescent="0.3">
      <c r="A235" s="8" t="s">
        <v>83</v>
      </c>
      <c r="B235" s="8" t="s">
        <v>84</v>
      </c>
      <c r="C235" s="7">
        <v>45317</v>
      </c>
      <c r="D235" s="8" t="s">
        <v>452</v>
      </c>
      <c r="E235" s="8" t="s">
        <v>549</v>
      </c>
      <c r="F235" s="8" t="s">
        <v>549</v>
      </c>
      <c r="G235" s="8" t="s">
        <v>550</v>
      </c>
      <c r="H235" s="9">
        <v>4419</v>
      </c>
      <c r="I235" s="9">
        <v>1278.6500000000001</v>
      </c>
      <c r="L235" s="8" t="s">
        <v>105</v>
      </c>
      <c r="M235" s="8" t="s">
        <v>34</v>
      </c>
      <c r="N235" s="8" t="s">
        <v>41</v>
      </c>
      <c r="O235" s="8" t="s">
        <v>14</v>
      </c>
      <c r="P235" s="8" t="s">
        <v>42</v>
      </c>
      <c r="Q235" s="8" t="s">
        <v>549</v>
      </c>
      <c r="R235" s="8" t="s">
        <v>33</v>
      </c>
      <c r="S235" s="8" t="s">
        <v>530</v>
      </c>
      <c r="T235" s="8" t="s">
        <v>80</v>
      </c>
      <c r="U235" s="8" t="s">
        <v>32</v>
      </c>
      <c r="V235" s="8" t="s">
        <v>32</v>
      </c>
      <c r="W235" s="8" t="s">
        <v>33</v>
      </c>
      <c r="X235" s="8" t="s">
        <v>33</v>
      </c>
      <c r="Y235" s="8" t="s">
        <v>33</v>
      </c>
      <c r="Z235" s="8" t="s">
        <v>33</v>
      </c>
      <c r="AA235" s="8" t="s">
        <v>33</v>
      </c>
      <c r="AB235" s="8" t="s">
        <v>32</v>
      </c>
      <c r="AC235" s="8" t="s">
        <v>33</v>
      </c>
      <c r="AD235" s="8" t="s">
        <v>32</v>
      </c>
      <c r="AE235" s="8" t="s">
        <v>32</v>
      </c>
      <c r="AF235" s="4">
        <f t="shared" si="6"/>
        <v>4419</v>
      </c>
      <c r="AG235" s="4">
        <f t="shared" si="7"/>
        <v>1278.6500000000001</v>
      </c>
      <c r="AH235" s="5" t="s">
        <v>185</v>
      </c>
      <c r="AI235" s="11" t="s">
        <v>213</v>
      </c>
      <c r="AJ235" s="11" t="s">
        <v>209</v>
      </c>
      <c r="AK235" s="11" t="s">
        <v>235</v>
      </c>
    </row>
    <row r="236" spans="1:37" x14ac:dyDescent="0.3">
      <c r="A236" s="8" t="s">
        <v>83</v>
      </c>
      <c r="B236" s="8" t="s">
        <v>84</v>
      </c>
      <c r="C236" s="7">
        <v>45317</v>
      </c>
      <c r="D236" s="8" t="s">
        <v>453</v>
      </c>
      <c r="E236" s="8" t="s">
        <v>549</v>
      </c>
      <c r="F236" s="8" t="s">
        <v>549</v>
      </c>
      <c r="G236" s="8" t="s">
        <v>550</v>
      </c>
      <c r="H236" s="9">
        <v>5421</v>
      </c>
      <c r="I236" s="9">
        <v>1568.58</v>
      </c>
      <c r="L236" s="8" t="s">
        <v>105</v>
      </c>
      <c r="M236" s="8" t="s">
        <v>34</v>
      </c>
      <c r="N236" s="8" t="s">
        <v>41</v>
      </c>
      <c r="O236" s="8" t="s">
        <v>14</v>
      </c>
      <c r="P236" s="8" t="s">
        <v>42</v>
      </c>
      <c r="Q236" s="8" t="s">
        <v>549</v>
      </c>
      <c r="R236" s="8" t="s">
        <v>33</v>
      </c>
      <c r="S236" s="8" t="s">
        <v>530</v>
      </c>
      <c r="T236" s="8" t="s">
        <v>80</v>
      </c>
      <c r="U236" s="8" t="s">
        <v>32</v>
      </c>
      <c r="V236" s="8" t="s">
        <v>32</v>
      </c>
      <c r="W236" s="8" t="s">
        <v>33</v>
      </c>
      <c r="X236" s="8" t="s">
        <v>33</v>
      </c>
      <c r="Y236" s="8" t="s">
        <v>33</v>
      </c>
      <c r="Z236" s="8" t="s">
        <v>33</v>
      </c>
      <c r="AA236" s="8" t="s">
        <v>33</v>
      </c>
      <c r="AB236" s="8" t="s">
        <v>32</v>
      </c>
      <c r="AC236" s="8" t="s">
        <v>33</v>
      </c>
      <c r="AD236" s="8" t="s">
        <v>32</v>
      </c>
      <c r="AE236" s="8" t="s">
        <v>32</v>
      </c>
      <c r="AF236" s="4">
        <f t="shared" si="6"/>
        <v>5421</v>
      </c>
      <c r="AG236" s="4">
        <f t="shared" si="7"/>
        <v>1568.58</v>
      </c>
      <c r="AH236" s="5" t="s">
        <v>185</v>
      </c>
      <c r="AI236" s="11" t="s">
        <v>213</v>
      </c>
      <c r="AJ236" s="11" t="s">
        <v>209</v>
      </c>
      <c r="AK236" s="11" t="s">
        <v>235</v>
      </c>
    </row>
    <row r="237" spans="1:37" x14ac:dyDescent="0.3">
      <c r="A237" s="8" t="s">
        <v>83</v>
      </c>
      <c r="B237" s="8" t="s">
        <v>84</v>
      </c>
      <c r="C237" s="7">
        <v>45317</v>
      </c>
      <c r="D237" s="8" t="s">
        <v>454</v>
      </c>
      <c r="E237" s="8" t="s">
        <v>549</v>
      </c>
      <c r="F237" s="8" t="s">
        <v>549</v>
      </c>
      <c r="G237" s="8" t="s">
        <v>550</v>
      </c>
      <c r="H237" s="9">
        <v>4613</v>
      </c>
      <c r="I237" s="9">
        <v>1334.78</v>
      </c>
      <c r="L237" s="8" t="s">
        <v>105</v>
      </c>
      <c r="M237" s="8" t="s">
        <v>34</v>
      </c>
      <c r="N237" s="8" t="s">
        <v>41</v>
      </c>
      <c r="O237" s="8" t="s">
        <v>14</v>
      </c>
      <c r="P237" s="8" t="s">
        <v>42</v>
      </c>
      <c r="Q237" s="8" t="s">
        <v>549</v>
      </c>
      <c r="R237" s="8" t="s">
        <v>33</v>
      </c>
      <c r="S237" s="8" t="s">
        <v>530</v>
      </c>
      <c r="T237" s="8" t="s">
        <v>80</v>
      </c>
      <c r="U237" s="8" t="s">
        <v>32</v>
      </c>
      <c r="V237" s="8" t="s">
        <v>32</v>
      </c>
      <c r="W237" s="8" t="s">
        <v>33</v>
      </c>
      <c r="X237" s="8" t="s">
        <v>33</v>
      </c>
      <c r="Y237" s="8" t="s">
        <v>33</v>
      </c>
      <c r="Z237" s="8" t="s">
        <v>33</v>
      </c>
      <c r="AA237" s="8" t="s">
        <v>33</v>
      </c>
      <c r="AB237" s="8" t="s">
        <v>32</v>
      </c>
      <c r="AC237" s="8" t="s">
        <v>33</v>
      </c>
      <c r="AD237" s="8" t="s">
        <v>32</v>
      </c>
      <c r="AE237" s="8" t="s">
        <v>32</v>
      </c>
      <c r="AF237" s="4">
        <f t="shared" si="6"/>
        <v>4613</v>
      </c>
      <c r="AG237" s="4">
        <f t="shared" si="7"/>
        <v>1334.78</v>
      </c>
      <c r="AH237" s="5" t="s">
        <v>185</v>
      </c>
      <c r="AI237" s="11" t="s">
        <v>213</v>
      </c>
      <c r="AJ237" s="11" t="s">
        <v>209</v>
      </c>
      <c r="AK237" s="11" t="s">
        <v>235</v>
      </c>
    </row>
    <row r="238" spans="1:37" x14ac:dyDescent="0.3">
      <c r="A238" s="8" t="s">
        <v>83</v>
      </c>
      <c r="B238" s="8" t="s">
        <v>84</v>
      </c>
      <c r="C238" s="7">
        <v>45317</v>
      </c>
      <c r="D238" s="8" t="s">
        <v>455</v>
      </c>
      <c r="E238" s="8" t="s">
        <v>549</v>
      </c>
      <c r="F238" s="8" t="s">
        <v>549</v>
      </c>
      <c r="G238" s="8" t="s">
        <v>550</v>
      </c>
      <c r="H238" s="9">
        <v>4774</v>
      </c>
      <c r="I238" s="9">
        <v>1381.37</v>
      </c>
      <c r="L238" s="8" t="s">
        <v>105</v>
      </c>
      <c r="M238" s="8" t="s">
        <v>34</v>
      </c>
      <c r="N238" s="8" t="s">
        <v>41</v>
      </c>
      <c r="O238" s="8" t="s">
        <v>14</v>
      </c>
      <c r="P238" s="8" t="s">
        <v>42</v>
      </c>
      <c r="Q238" s="8" t="s">
        <v>549</v>
      </c>
      <c r="R238" s="8" t="s">
        <v>33</v>
      </c>
      <c r="S238" s="8" t="s">
        <v>530</v>
      </c>
      <c r="T238" s="8" t="s">
        <v>80</v>
      </c>
      <c r="U238" s="8" t="s">
        <v>32</v>
      </c>
      <c r="V238" s="8" t="s">
        <v>32</v>
      </c>
      <c r="W238" s="8" t="s">
        <v>33</v>
      </c>
      <c r="X238" s="8" t="s">
        <v>33</v>
      </c>
      <c r="Y238" s="8" t="s">
        <v>33</v>
      </c>
      <c r="Z238" s="8" t="s">
        <v>33</v>
      </c>
      <c r="AA238" s="8" t="s">
        <v>33</v>
      </c>
      <c r="AB238" s="8" t="s">
        <v>32</v>
      </c>
      <c r="AC238" s="8" t="s">
        <v>33</v>
      </c>
      <c r="AD238" s="8" t="s">
        <v>32</v>
      </c>
      <c r="AE238" s="8" t="s">
        <v>32</v>
      </c>
      <c r="AF238" s="4">
        <f t="shared" si="6"/>
        <v>4774</v>
      </c>
      <c r="AG238" s="4">
        <f t="shared" si="7"/>
        <v>1381.37</v>
      </c>
      <c r="AH238" s="5" t="s">
        <v>185</v>
      </c>
      <c r="AI238" s="11" t="s">
        <v>213</v>
      </c>
      <c r="AJ238" s="11" t="s">
        <v>209</v>
      </c>
      <c r="AK238" s="11" t="s">
        <v>235</v>
      </c>
    </row>
    <row r="239" spans="1:37" x14ac:dyDescent="0.3">
      <c r="A239" s="8" t="s">
        <v>83</v>
      </c>
      <c r="B239" s="8" t="s">
        <v>84</v>
      </c>
      <c r="C239" s="7">
        <v>45317</v>
      </c>
      <c r="D239" s="8" t="s">
        <v>456</v>
      </c>
      <c r="E239" s="8" t="s">
        <v>549</v>
      </c>
      <c r="F239" s="8" t="s">
        <v>549</v>
      </c>
      <c r="G239" s="8" t="s">
        <v>550</v>
      </c>
      <c r="H239" s="9">
        <v>1142</v>
      </c>
      <c r="I239" s="9">
        <v>330.44</v>
      </c>
      <c r="L239" s="8" t="s">
        <v>76</v>
      </c>
      <c r="M239" s="8" t="s">
        <v>34</v>
      </c>
      <c r="N239" s="8" t="s">
        <v>41</v>
      </c>
      <c r="O239" s="8" t="s">
        <v>14</v>
      </c>
      <c r="P239" s="8" t="s">
        <v>42</v>
      </c>
      <c r="Q239" s="8" t="s">
        <v>549</v>
      </c>
      <c r="R239" s="8" t="s">
        <v>33</v>
      </c>
      <c r="S239" s="8" t="s">
        <v>530</v>
      </c>
      <c r="T239" s="8" t="s">
        <v>80</v>
      </c>
      <c r="U239" s="8" t="s">
        <v>32</v>
      </c>
      <c r="V239" s="8" t="s">
        <v>32</v>
      </c>
      <c r="W239" s="8" t="s">
        <v>33</v>
      </c>
      <c r="X239" s="8" t="s">
        <v>33</v>
      </c>
      <c r="Y239" s="8" t="s">
        <v>33</v>
      </c>
      <c r="Z239" s="8" t="s">
        <v>33</v>
      </c>
      <c r="AA239" s="8" t="s">
        <v>33</v>
      </c>
      <c r="AB239" s="8" t="s">
        <v>32</v>
      </c>
      <c r="AC239" s="8" t="s">
        <v>33</v>
      </c>
      <c r="AD239" s="8" t="s">
        <v>32</v>
      </c>
      <c r="AE239" s="8" t="s">
        <v>32</v>
      </c>
      <c r="AF239" s="4">
        <f t="shared" si="6"/>
        <v>1142</v>
      </c>
      <c r="AG239" s="4">
        <f t="shared" si="7"/>
        <v>330.44</v>
      </c>
      <c r="AH239" s="5" t="s">
        <v>185</v>
      </c>
      <c r="AI239" s="11" t="s">
        <v>213</v>
      </c>
      <c r="AJ239" s="11" t="s">
        <v>205</v>
      </c>
      <c r="AK239" s="11" t="s">
        <v>235</v>
      </c>
    </row>
    <row r="240" spans="1:37" x14ac:dyDescent="0.3">
      <c r="A240" s="8" t="s">
        <v>83</v>
      </c>
      <c r="B240" s="8" t="s">
        <v>84</v>
      </c>
      <c r="C240" s="7">
        <v>45317</v>
      </c>
      <c r="D240" s="8" t="s">
        <v>457</v>
      </c>
      <c r="E240" s="8" t="s">
        <v>549</v>
      </c>
      <c r="F240" s="8" t="s">
        <v>549</v>
      </c>
      <c r="G240" s="8" t="s">
        <v>550</v>
      </c>
      <c r="H240" s="9">
        <v>8624</v>
      </c>
      <c r="I240" s="9">
        <v>2495.37</v>
      </c>
      <c r="L240" s="8" t="s">
        <v>76</v>
      </c>
      <c r="M240" s="8" t="s">
        <v>34</v>
      </c>
      <c r="N240" s="8" t="s">
        <v>41</v>
      </c>
      <c r="O240" s="8" t="s">
        <v>14</v>
      </c>
      <c r="P240" s="8" t="s">
        <v>42</v>
      </c>
      <c r="Q240" s="8" t="s">
        <v>549</v>
      </c>
      <c r="R240" s="8" t="s">
        <v>33</v>
      </c>
      <c r="S240" s="8" t="s">
        <v>530</v>
      </c>
      <c r="T240" s="8" t="s">
        <v>80</v>
      </c>
      <c r="U240" s="8" t="s">
        <v>32</v>
      </c>
      <c r="V240" s="8" t="s">
        <v>32</v>
      </c>
      <c r="W240" s="8" t="s">
        <v>33</v>
      </c>
      <c r="X240" s="8" t="s">
        <v>33</v>
      </c>
      <c r="Y240" s="8" t="s">
        <v>33</v>
      </c>
      <c r="Z240" s="8" t="s">
        <v>33</v>
      </c>
      <c r="AA240" s="8" t="s">
        <v>33</v>
      </c>
      <c r="AB240" s="8" t="s">
        <v>32</v>
      </c>
      <c r="AC240" s="8" t="s">
        <v>33</v>
      </c>
      <c r="AD240" s="8" t="s">
        <v>32</v>
      </c>
      <c r="AE240" s="8" t="s">
        <v>32</v>
      </c>
      <c r="AF240" s="4">
        <f t="shared" si="6"/>
        <v>8624</v>
      </c>
      <c r="AG240" s="4">
        <f t="shared" si="7"/>
        <v>2495.37</v>
      </c>
      <c r="AH240" s="5" t="s">
        <v>185</v>
      </c>
      <c r="AI240" s="11" t="s">
        <v>213</v>
      </c>
      <c r="AJ240" s="11" t="s">
        <v>205</v>
      </c>
      <c r="AK240" s="11" t="s">
        <v>235</v>
      </c>
    </row>
    <row r="241" spans="1:37" x14ac:dyDescent="0.3">
      <c r="A241" s="8" t="s">
        <v>83</v>
      </c>
      <c r="B241" s="8" t="s">
        <v>84</v>
      </c>
      <c r="C241" s="7">
        <v>45317</v>
      </c>
      <c r="D241" s="8" t="s">
        <v>458</v>
      </c>
      <c r="E241" s="8" t="s">
        <v>549</v>
      </c>
      <c r="F241" s="8" t="s">
        <v>549</v>
      </c>
      <c r="G241" s="8" t="s">
        <v>550</v>
      </c>
      <c r="H241" s="9">
        <v>8564</v>
      </c>
      <c r="I241" s="9">
        <v>2478.0100000000002</v>
      </c>
      <c r="L241" s="8" t="s">
        <v>76</v>
      </c>
      <c r="M241" s="8" t="s">
        <v>34</v>
      </c>
      <c r="N241" s="8" t="s">
        <v>41</v>
      </c>
      <c r="O241" s="8" t="s">
        <v>14</v>
      </c>
      <c r="P241" s="8" t="s">
        <v>42</v>
      </c>
      <c r="Q241" s="8" t="s">
        <v>549</v>
      </c>
      <c r="R241" s="8" t="s">
        <v>33</v>
      </c>
      <c r="S241" s="8" t="s">
        <v>530</v>
      </c>
      <c r="T241" s="8" t="s">
        <v>80</v>
      </c>
      <c r="U241" s="8" t="s">
        <v>32</v>
      </c>
      <c r="V241" s="8" t="s">
        <v>32</v>
      </c>
      <c r="W241" s="8" t="s">
        <v>33</v>
      </c>
      <c r="X241" s="8" t="s">
        <v>33</v>
      </c>
      <c r="Y241" s="8" t="s">
        <v>33</v>
      </c>
      <c r="Z241" s="8" t="s">
        <v>33</v>
      </c>
      <c r="AA241" s="8" t="s">
        <v>33</v>
      </c>
      <c r="AB241" s="8" t="s">
        <v>32</v>
      </c>
      <c r="AC241" s="8" t="s">
        <v>33</v>
      </c>
      <c r="AD241" s="8" t="s">
        <v>32</v>
      </c>
      <c r="AE241" s="8" t="s">
        <v>32</v>
      </c>
      <c r="AF241" s="4">
        <f t="shared" si="6"/>
        <v>8564</v>
      </c>
      <c r="AG241" s="4">
        <f t="shared" si="7"/>
        <v>2478.0100000000002</v>
      </c>
      <c r="AH241" s="5" t="s">
        <v>185</v>
      </c>
      <c r="AI241" s="11" t="s">
        <v>213</v>
      </c>
      <c r="AJ241" s="11" t="s">
        <v>205</v>
      </c>
      <c r="AK241" s="11" t="s">
        <v>235</v>
      </c>
    </row>
    <row r="242" spans="1:37" x14ac:dyDescent="0.3">
      <c r="A242" s="8" t="s">
        <v>83</v>
      </c>
      <c r="B242" s="8" t="s">
        <v>84</v>
      </c>
      <c r="C242" s="7">
        <v>45317</v>
      </c>
      <c r="D242" s="8" t="s">
        <v>459</v>
      </c>
      <c r="E242" s="8" t="s">
        <v>549</v>
      </c>
      <c r="F242" s="8" t="s">
        <v>549</v>
      </c>
      <c r="G242" s="8" t="s">
        <v>550</v>
      </c>
      <c r="H242" s="9">
        <v>5161</v>
      </c>
      <c r="I242" s="9">
        <v>1493.34</v>
      </c>
      <c r="L242" s="8" t="s">
        <v>76</v>
      </c>
      <c r="M242" s="8" t="s">
        <v>34</v>
      </c>
      <c r="N242" s="8" t="s">
        <v>41</v>
      </c>
      <c r="O242" s="8" t="s">
        <v>14</v>
      </c>
      <c r="P242" s="8" t="s">
        <v>42</v>
      </c>
      <c r="Q242" s="8" t="s">
        <v>549</v>
      </c>
      <c r="R242" s="8" t="s">
        <v>33</v>
      </c>
      <c r="S242" s="8" t="s">
        <v>530</v>
      </c>
      <c r="T242" s="8" t="s">
        <v>80</v>
      </c>
      <c r="U242" s="8" t="s">
        <v>32</v>
      </c>
      <c r="V242" s="8" t="s">
        <v>32</v>
      </c>
      <c r="W242" s="8" t="s">
        <v>33</v>
      </c>
      <c r="X242" s="8" t="s">
        <v>33</v>
      </c>
      <c r="Y242" s="8" t="s">
        <v>33</v>
      </c>
      <c r="Z242" s="8" t="s">
        <v>33</v>
      </c>
      <c r="AA242" s="8" t="s">
        <v>33</v>
      </c>
      <c r="AB242" s="8" t="s">
        <v>32</v>
      </c>
      <c r="AC242" s="8" t="s">
        <v>33</v>
      </c>
      <c r="AD242" s="8" t="s">
        <v>32</v>
      </c>
      <c r="AE242" s="8" t="s">
        <v>32</v>
      </c>
      <c r="AF242" s="4">
        <f t="shared" si="6"/>
        <v>5161</v>
      </c>
      <c r="AG242" s="4">
        <f t="shared" si="7"/>
        <v>1493.34</v>
      </c>
      <c r="AH242" s="5" t="s">
        <v>185</v>
      </c>
      <c r="AI242" s="11" t="s">
        <v>213</v>
      </c>
      <c r="AJ242" s="11" t="s">
        <v>205</v>
      </c>
      <c r="AK242" s="11" t="s">
        <v>235</v>
      </c>
    </row>
    <row r="243" spans="1:37" x14ac:dyDescent="0.3">
      <c r="A243" s="8" t="s">
        <v>83</v>
      </c>
      <c r="B243" s="8" t="s">
        <v>84</v>
      </c>
      <c r="C243" s="7">
        <v>45317</v>
      </c>
      <c r="D243" s="8" t="s">
        <v>460</v>
      </c>
      <c r="E243" s="8" t="s">
        <v>549</v>
      </c>
      <c r="F243" s="8" t="s">
        <v>549</v>
      </c>
      <c r="G243" s="8" t="s">
        <v>550</v>
      </c>
      <c r="H243" s="9">
        <v>8481</v>
      </c>
      <c r="I243" s="9">
        <v>2453.9899999999998</v>
      </c>
      <c r="L243" s="8" t="s">
        <v>76</v>
      </c>
      <c r="M243" s="8" t="s">
        <v>34</v>
      </c>
      <c r="N243" s="8" t="s">
        <v>41</v>
      </c>
      <c r="O243" s="8" t="s">
        <v>14</v>
      </c>
      <c r="P243" s="8" t="s">
        <v>42</v>
      </c>
      <c r="Q243" s="8" t="s">
        <v>549</v>
      </c>
      <c r="R243" s="8" t="s">
        <v>33</v>
      </c>
      <c r="S243" s="8" t="s">
        <v>530</v>
      </c>
      <c r="T243" s="8" t="s">
        <v>80</v>
      </c>
      <c r="U243" s="8" t="s">
        <v>32</v>
      </c>
      <c r="V243" s="8" t="s">
        <v>32</v>
      </c>
      <c r="W243" s="8" t="s">
        <v>33</v>
      </c>
      <c r="X243" s="8" t="s">
        <v>33</v>
      </c>
      <c r="Y243" s="8" t="s">
        <v>33</v>
      </c>
      <c r="Z243" s="8" t="s">
        <v>33</v>
      </c>
      <c r="AA243" s="8" t="s">
        <v>33</v>
      </c>
      <c r="AB243" s="8" t="s">
        <v>32</v>
      </c>
      <c r="AC243" s="8" t="s">
        <v>33</v>
      </c>
      <c r="AD243" s="8" t="s">
        <v>32</v>
      </c>
      <c r="AE243" s="8" t="s">
        <v>32</v>
      </c>
      <c r="AF243" s="4">
        <f t="shared" si="6"/>
        <v>8481</v>
      </c>
      <c r="AG243" s="4">
        <f t="shared" si="7"/>
        <v>2453.9899999999998</v>
      </c>
      <c r="AH243" s="5" t="s">
        <v>185</v>
      </c>
      <c r="AI243" s="11" t="s">
        <v>213</v>
      </c>
      <c r="AJ243" s="11" t="s">
        <v>205</v>
      </c>
      <c r="AK243" s="11" t="s">
        <v>235</v>
      </c>
    </row>
    <row r="244" spans="1:37" x14ac:dyDescent="0.3">
      <c r="A244" s="8" t="s">
        <v>83</v>
      </c>
      <c r="B244" s="8" t="s">
        <v>84</v>
      </c>
      <c r="C244" s="7">
        <v>45317</v>
      </c>
      <c r="D244" s="8" t="s">
        <v>461</v>
      </c>
      <c r="E244" s="8" t="s">
        <v>549</v>
      </c>
      <c r="F244" s="8" t="s">
        <v>549</v>
      </c>
      <c r="G244" s="8" t="s">
        <v>550</v>
      </c>
      <c r="H244" s="9">
        <v>5462</v>
      </c>
      <c r="I244" s="9">
        <v>1580.44</v>
      </c>
      <c r="L244" s="8" t="s">
        <v>76</v>
      </c>
      <c r="M244" s="8" t="s">
        <v>34</v>
      </c>
      <c r="N244" s="8" t="s">
        <v>41</v>
      </c>
      <c r="O244" s="8" t="s">
        <v>14</v>
      </c>
      <c r="P244" s="8" t="s">
        <v>42</v>
      </c>
      <c r="Q244" s="8" t="s">
        <v>549</v>
      </c>
      <c r="R244" s="8" t="s">
        <v>33</v>
      </c>
      <c r="S244" s="8" t="s">
        <v>530</v>
      </c>
      <c r="T244" s="8" t="s">
        <v>80</v>
      </c>
      <c r="U244" s="8" t="s">
        <v>32</v>
      </c>
      <c r="V244" s="8" t="s">
        <v>32</v>
      </c>
      <c r="W244" s="8" t="s">
        <v>33</v>
      </c>
      <c r="X244" s="8" t="s">
        <v>33</v>
      </c>
      <c r="Y244" s="8" t="s">
        <v>33</v>
      </c>
      <c r="Z244" s="8" t="s">
        <v>33</v>
      </c>
      <c r="AA244" s="8" t="s">
        <v>33</v>
      </c>
      <c r="AB244" s="8" t="s">
        <v>32</v>
      </c>
      <c r="AC244" s="8" t="s">
        <v>33</v>
      </c>
      <c r="AD244" s="8" t="s">
        <v>32</v>
      </c>
      <c r="AE244" s="8" t="s">
        <v>32</v>
      </c>
      <c r="AF244" s="4">
        <f t="shared" si="6"/>
        <v>5462</v>
      </c>
      <c r="AG244" s="4">
        <f t="shared" si="7"/>
        <v>1580.44</v>
      </c>
      <c r="AH244" s="5" t="s">
        <v>185</v>
      </c>
      <c r="AI244" s="11" t="s">
        <v>213</v>
      </c>
      <c r="AJ244" s="11" t="s">
        <v>205</v>
      </c>
      <c r="AK244" s="11" t="s">
        <v>235</v>
      </c>
    </row>
    <row r="245" spans="1:37" x14ac:dyDescent="0.3">
      <c r="A245" s="8" t="s">
        <v>90</v>
      </c>
      <c r="B245" s="8" t="s">
        <v>91</v>
      </c>
      <c r="C245" s="7">
        <v>45317</v>
      </c>
      <c r="D245" s="8" t="s">
        <v>462</v>
      </c>
      <c r="E245" s="8" t="s">
        <v>549</v>
      </c>
      <c r="F245" s="8" t="s">
        <v>549</v>
      </c>
      <c r="G245" s="8" t="s">
        <v>550</v>
      </c>
      <c r="H245" s="9">
        <v>1860</v>
      </c>
      <c r="I245" s="9">
        <v>538.19000000000005</v>
      </c>
      <c r="L245" s="8" t="s">
        <v>89</v>
      </c>
      <c r="M245" s="8" t="s">
        <v>38</v>
      </c>
      <c r="N245" s="8" t="s">
        <v>29</v>
      </c>
      <c r="O245" s="8" t="s">
        <v>14</v>
      </c>
      <c r="P245" s="8" t="s">
        <v>30</v>
      </c>
      <c r="Q245" s="8" t="s">
        <v>549</v>
      </c>
      <c r="R245" s="8" t="s">
        <v>33</v>
      </c>
      <c r="S245" s="8" t="s">
        <v>530</v>
      </c>
      <c r="T245" s="8" t="s">
        <v>31</v>
      </c>
      <c r="U245" s="8" t="s">
        <v>32</v>
      </c>
      <c r="V245" s="8" t="s">
        <v>32</v>
      </c>
      <c r="W245" s="8" t="s">
        <v>33</v>
      </c>
      <c r="X245" s="8" t="s">
        <v>33</v>
      </c>
      <c r="Y245" s="8" t="s">
        <v>33</v>
      </c>
      <c r="Z245" s="8" t="s">
        <v>33</v>
      </c>
      <c r="AA245" s="8" t="s">
        <v>33</v>
      </c>
      <c r="AB245" s="8" t="s">
        <v>32</v>
      </c>
      <c r="AC245" s="8" t="s">
        <v>33</v>
      </c>
      <c r="AD245" s="8" t="s">
        <v>32</v>
      </c>
      <c r="AE245" s="8" t="s">
        <v>32</v>
      </c>
      <c r="AF245" s="4">
        <f t="shared" si="6"/>
        <v>1860</v>
      </c>
      <c r="AG245" s="4">
        <f t="shared" si="7"/>
        <v>538.19000000000005</v>
      </c>
      <c r="AH245" s="5" t="s">
        <v>185</v>
      </c>
      <c r="AI245" s="11" t="s">
        <v>218</v>
      </c>
      <c r="AJ245" s="11" t="s">
        <v>208</v>
      </c>
      <c r="AK245" s="11" t="s">
        <v>235</v>
      </c>
    </row>
    <row r="246" spans="1:37" x14ac:dyDescent="0.3">
      <c r="A246" s="8" t="s">
        <v>90</v>
      </c>
      <c r="B246" s="8" t="s">
        <v>91</v>
      </c>
      <c r="C246" s="7">
        <v>45317</v>
      </c>
      <c r="D246" s="8" t="s">
        <v>462</v>
      </c>
      <c r="E246" s="8" t="s">
        <v>549</v>
      </c>
      <c r="F246" s="8" t="s">
        <v>549</v>
      </c>
      <c r="G246" s="8" t="s">
        <v>550</v>
      </c>
      <c r="H246" s="9">
        <v>7973</v>
      </c>
      <c r="I246" s="9">
        <v>2307</v>
      </c>
      <c r="L246" s="8" t="s">
        <v>89</v>
      </c>
      <c r="M246" s="8" t="s">
        <v>39</v>
      </c>
      <c r="N246" s="8" t="s">
        <v>29</v>
      </c>
      <c r="O246" s="8" t="s">
        <v>14</v>
      </c>
      <c r="P246" s="8" t="s">
        <v>30</v>
      </c>
      <c r="Q246" s="8" t="s">
        <v>549</v>
      </c>
      <c r="R246" s="8" t="s">
        <v>33</v>
      </c>
      <c r="S246" s="8" t="s">
        <v>530</v>
      </c>
      <c r="T246" s="8" t="s">
        <v>31</v>
      </c>
      <c r="U246" s="8" t="s">
        <v>32</v>
      </c>
      <c r="V246" s="8" t="s">
        <v>32</v>
      </c>
      <c r="W246" s="8" t="s">
        <v>33</v>
      </c>
      <c r="X246" s="8" t="s">
        <v>33</v>
      </c>
      <c r="Y246" s="8" t="s">
        <v>33</v>
      </c>
      <c r="Z246" s="8" t="s">
        <v>33</v>
      </c>
      <c r="AA246" s="8" t="s">
        <v>33</v>
      </c>
      <c r="AB246" s="8" t="s">
        <v>32</v>
      </c>
      <c r="AC246" s="8" t="s">
        <v>33</v>
      </c>
      <c r="AD246" s="8" t="s">
        <v>32</v>
      </c>
      <c r="AE246" s="8" t="s">
        <v>32</v>
      </c>
      <c r="AF246" s="4">
        <f t="shared" si="6"/>
        <v>7973</v>
      </c>
      <c r="AG246" s="4">
        <f t="shared" si="7"/>
        <v>2307</v>
      </c>
      <c r="AH246" s="5" t="s">
        <v>185</v>
      </c>
      <c r="AI246" s="11" t="s">
        <v>218</v>
      </c>
      <c r="AJ246" s="11" t="s">
        <v>208</v>
      </c>
      <c r="AK246" s="11" t="s">
        <v>235</v>
      </c>
    </row>
    <row r="247" spans="1:37" x14ac:dyDescent="0.3">
      <c r="A247" s="8" t="s">
        <v>90</v>
      </c>
      <c r="B247" s="8" t="s">
        <v>91</v>
      </c>
      <c r="C247" s="7">
        <v>45317</v>
      </c>
      <c r="D247" s="8" t="s">
        <v>462</v>
      </c>
      <c r="E247" s="8" t="s">
        <v>549</v>
      </c>
      <c r="F247" s="8" t="s">
        <v>549</v>
      </c>
      <c r="G247" s="8" t="s">
        <v>550</v>
      </c>
      <c r="H247" s="9">
        <v>4364</v>
      </c>
      <c r="I247" s="9">
        <v>1262.73</v>
      </c>
      <c r="L247" s="8" t="s">
        <v>89</v>
      </c>
      <c r="M247" s="8" t="s">
        <v>43</v>
      </c>
      <c r="N247" s="8" t="s">
        <v>29</v>
      </c>
      <c r="O247" s="8" t="s">
        <v>14</v>
      </c>
      <c r="P247" s="8" t="s">
        <v>30</v>
      </c>
      <c r="Q247" s="8" t="s">
        <v>549</v>
      </c>
      <c r="R247" s="8" t="s">
        <v>33</v>
      </c>
      <c r="S247" s="8" t="s">
        <v>530</v>
      </c>
      <c r="T247" s="8" t="s">
        <v>31</v>
      </c>
      <c r="U247" s="8" t="s">
        <v>32</v>
      </c>
      <c r="V247" s="8" t="s">
        <v>32</v>
      </c>
      <c r="W247" s="8" t="s">
        <v>33</v>
      </c>
      <c r="X247" s="8" t="s">
        <v>33</v>
      </c>
      <c r="Y247" s="8" t="s">
        <v>33</v>
      </c>
      <c r="Z247" s="8" t="s">
        <v>33</v>
      </c>
      <c r="AA247" s="8" t="s">
        <v>33</v>
      </c>
      <c r="AB247" s="8" t="s">
        <v>32</v>
      </c>
      <c r="AC247" s="8" t="s">
        <v>33</v>
      </c>
      <c r="AD247" s="8" t="s">
        <v>32</v>
      </c>
      <c r="AE247" s="8" t="s">
        <v>32</v>
      </c>
      <c r="AF247" s="4">
        <f t="shared" si="6"/>
        <v>4364</v>
      </c>
      <c r="AG247" s="4">
        <f t="shared" si="7"/>
        <v>1262.73</v>
      </c>
      <c r="AH247" s="5" t="s">
        <v>185</v>
      </c>
      <c r="AI247" s="11" t="s">
        <v>218</v>
      </c>
      <c r="AJ247" s="11" t="s">
        <v>208</v>
      </c>
      <c r="AK247" s="11" t="s">
        <v>235</v>
      </c>
    </row>
    <row r="248" spans="1:37" x14ac:dyDescent="0.3">
      <c r="A248" s="8" t="s">
        <v>90</v>
      </c>
      <c r="B248" s="8" t="s">
        <v>91</v>
      </c>
      <c r="C248" s="7">
        <v>45317</v>
      </c>
      <c r="D248" s="8" t="s">
        <v>462</v>
      </c>
      <c r="E248" s="8" t="s">
        <v>549</v>
      </c>
      <c r="F248" s="8" t="s">
        <v>549</v>
      </c>
      <c r="G248" s="8" t="s">
        <v>550</v>
      </c>
      <c r="H248" s="9">
        <v>7423</v>
      </c>
      <c r="I248" s="9">
        <v>2147.86</v>
      </c>
      <c r="L248" s="8" t="s">
        <v>89</v>
      </c>
      <c r="M248" s="8" t="s">
        <v>44</v>
      </c>
      <c r="N248" s="8" t="s">
        <v>29</v>
      </c>
      <c r="O248" s="8" t="s">
        <v>14</v>
      </c>
      <c r="P248" s="8" t="s">
        <v>30</v>
      </c>
      <c r="Q248" s="8" t="s">
        <v>549</v>
      </c>
      <c r="R248" s="8" t="s">
        <v>33</v>
      </c>
      <c r="S248" s="8" t="s">
        <v>530</v>
      </c>
      <c r="T248" s="8" t="s">
        <v>31</v>
      </c>
      <c r="U248" s="8" t="s">
        <v>32</v>
      </c>
      <c r="V248" s="8" t="s">
        <v>32</v>
      </c>
      <c r="W248" s="8" t="s">
        <v>33</v>
      </c>
      <c r="X248" s="8" t="s">
        <v>33</v>
      </c>
      <c r="Y248" s="8" t="s">
        <v>33</v>
      </c>
      <c r="Z248" s="8" t="s">
        <v>33</v>
      </c>
      <c r="AA248" s="8" t="s">
        <v>33</v>
      </c>
      <c r="AB248" s="8" t="s">
        <v>32</v>
      </c>
      <c r="AC248" s="8" t="s">
        <v>33</v>
      </c>
      <c r="AD248" s="8" t="s">
        <v>32</v>
      </c>
      <c r="AE248" s="8" t="s">
        <v>32</v>
      </c>
      <c r="AF248" s="4">
        <f t="shared" si="6"/>
        <v>7423</v>
      </c>
      <c r="AG248" s="4">
        <f t="shared" si="7"/>
        <v>2147.86</v>
      </c>
      <c r="AH248" s="5" t="s">
        <v>185</v>
      </c>
      <c r="AI248" s="11" t="s">
        <v>218</v>
      </c>
      <c r="AJ248" s="11" t="s">
        <v>208</v>
      </c>
      <c r="AK248" s="11" t="s">
        <v>235</v>
      </c>
    </row>
    <row r="249" spans="1:37" x14ac:dyDescent="0.3">
      <c r="A249" s="8" t="s">
        <v>90</v>
      </c>
      <c r="B249" s="8" t="s">
        <v>91</v>
      </c>
      <c r="C249" s="7">
        <v>45317</v>
      </c>
      <c r="D249" s="8" t="s">
        <v>462</v>
      </c>
      <c r="E249" s="8" t="s">
        <v>549</v>
      </c>
      <c r="F249" s="8" t="s">
        <v>549</v>
      </c>
      <c r="G249" s="8" t="s">
        <v>550</v>
      </c>
      <c r="H249" s="9">
        <v>8063</v>
      </c>
      <c r="I249" s="9">
        <v>2333.04</v>
      </c>
      <c r="L249" s="8" t="s">
        <v>89</v>
      </c>
      <c r="M249" s="8" t="s">
        <v>45</v>
      </c>
      <c r="N249" s="8" t="s">
        <v>29</v>
      </c>
      <c r="O249" s="8" t="s">
        <v>14</v>
      </c>
      <c r="P249" s="8" t="s">
        <v>30</v>
      </c>
      <c r="Q249" s="8" t="s">
        <v>549</v>
      </c>
      <c r="R249" s="8" t="s">
        <v>33</v>
      </c>
      <c r="S249" s="8" t="s">
        <v>530</v>
      </c>
      <c r="T249" s="8" t="s">
        <v>31</v>
      </c>
      <c r="U249" s="8" t="s">
        <v>32</v>
      </c>
      <c r="V249" s="8" t="s">
        <v>32</v>
      </c>
      <c r="W249" s="8" t="s">
        <v>33</v>
      </c>
      <c r="X249" s="8" t="s">
        <v>33</v>
      </c>
      <c r="Y249" s="8" t="s">
        <v>33</v>
      </c>
      <c r="Z249" s="8" t="s">
        <v>33</v>
      </c>
      <c r="AA249" s="8" t="s">
        <v>33</v>
      </c>
      <c r="AB249" s="8" t="s">
        <v>32</v>
      </c>
      <c r="AC249" s="8" t="s">
        <v>33</v>
      </c>
      <c r="AD249" s="8" t="s">
        <v>32</v>
      </c>
      <c r="AE249" s="8" t="s">
        <v>32</v>
      </c>
      <c r="AF249" s="4">
        <f t="shared" si="6"/>
        <v>8063</v>
      </c>
      <c r="AG249" s="4">
        <f t="shared" si="7"/>
        <v>2333.04</v>
      </c>
      <c r="AH249" s="5" t="s">
        <v>185</v>
      </c>
      <c r="AI249" s="11" t="s">
        <v>218</v>
      </c>
      <c r="AJ249" s="11" t="s">
        <v>208</v>
      </c>
      <c r="AK249" s="11" t="s">
        <v>235</v>
      </c>
    </row>
    <row r="250" spans="1:37" x14ac:dyDescent="0.3">
      <c r="A250" s="8" t="s">
        <v>150</v>
      </c>
      <c r="B250" s="8" t="s">
        <v>151</v>
      </c>
      <c r="C250" s="7">
        <v>45317</v>
      </c>
      <c r="D250" s="8" t="s">
        <v>463</v>
      </c>
      <c r="E250" s="8" t="s">
        <v>549</v>
      </c>
      <c r="F250" s="8" t="s">
        <v>549</v>
      </c>
      <c r="G250" s="8" t="s">
        <v>550</v>
      </c>
      <c r="H250" s="9">
        <v>5758</v>
      </c>
      <c r="I250" s="9">
        <v>1666.09</v>
      </c>
      <c r="L250" s="8" t="s">
        <v>119</v>
      </c>
      <c r="M250" s="8" t="s">
        <v>34</v>
      </c>
      <c r="N250" s="8" t="s">
        <v>29</v>
      </c>
      <c r="O250" s="8" t="s">
        <v>14</v>
      </c>
      <c r="P250" s="8" t="s">
        <v>30</v>
      </c>
      <c r="Q250" s="8" t="s">
        <v>549</v>
      </c>
      <c r="R250" s="8" t="s">
        <v>33</v>
      </c>
      <c r="S250" s="8" t="s">
        <v>530</v>
      </c>
      <c r="T250" s="8" t="s">
        <v>31</v>
      </c>
      <c r="U250" s="8" t="s">
        <v>32</v>
      </c>
      <c r="V250" s="8" t="s">
        <v>32</v>
      </c>
      <c r="W250" s="8" t="s">
        <v>33</v>
      </c>
      <c r="X250" s="8" t="s">
        <v>33</v>
      </c>
      <c r="Y250" s="8" t="s">
        <v>33</v>
      </c>
      <c r="Z250" s="8" t="s">
        <v>33</v>
      </c>
      <c r="AA250" s="8" t="s">
        <v>33</v>
      </c>
      <c r="AB250" s="8" t="s">
        <v>32</v>
      </c>
      <c r="AC250" s="8" t="s">
        <v>33</v>
      </c>
      <c r="AD250" s="8" t="s">
        <v>32</v>
      </c>
      <c r="AE250" s="8" t="s">
        <v>32</v>
      </c>
      <c r="AF250" s="4">
        <f t="shared" si="6"/>
        <v>5758</v>
      </c>
      <c r="AG250" s="4">
        <f t="shared" si="7"/>
        <v>1666.09</v>
      </c>
      <c r="AH250" s="5" t="s">
        <v>184</v>
      </c>
      <c r="AI250" s="11" t="s">
        <v>551</v>
      </c>
      <c r="AJ250" s="11" t="s">
        <v>541</v>
      </c>
      <c r="AK250" s="11" t="s">
        <v>237</v>
      </c>
    </row>
    <row r="251" spans="1:37" x14ac:dyDescent="0.3">
      <c r="A251" s="8" t="s">
        <v>150</v>
      </c>
      <c r="B251" s="8" t="s">
        <v>151</v>
      </c>
      <c r="C251" s="7">
        <v>45317</v>
      </c>
      <c r="D251" s="8" t="s">
        <v>463</v>
      </c>
      <c r="E251" s="8" t="s">
        <v>549</v>
      </c>
      <c r="F251" s="8" t="s">
        <v>549</v>
      </c>
      <c r="G251" s="8" t="s">
        <v>550</v>
      </c>
      <c r="H251" s="9">
        <v>4056</v>
      </c>
      <c r="I251" s="9">
        <v>1173.6099999999999</v>
      </c>
      <c r="L251" s="8" t="s">
        <v>119</v>
      </c>
      <c r="M251" s="8" t="s">
        <v>38</v>
      </c>
      <c r="N251" s="8" t="s">
        <v>29</v>
      </c>
      <c r="O251" s="8" t="s">
        <v>14</v>
      </c>
      <c r="P251" s="8" t="s">
        <v>30</v>
      </c>
      <c r="Q251" s="8" t="s">
        <v>549</v>
      </c>
      <c r="R251" s="8" t="s">
        <v>33</v>
      </c>
      <c r="S251" s="8" t="s">
        <v>530</v>
      </c>
      <c r="T251" s="8" t="s">
        <v>31</v>
      </c>
      <c r="U251" s="8" t="s">
        <v>32</v>
      </c>
      <c r="V251" s="8" t="s">
        <v>32</v>
      </c>
      <c r="W251" s="8" t="s">
        <v>33</v>
      </c>
      <c r="X251" s="8" t="s">
        <v>33</v>
      </c>
      <c r="Y251" s="8" t="s">
        <v>33</v>
      </c>
      <c r="Z251" s="8" t="s">
        <v>33</v>
      </c>
      <c r="AA251" s="8" t="s">
        <v>33</v>
      </c>
      <c r="AB251" s="8" t="s">
        <v>32</v>
      </c>
      <c r="AC251" s="8" t="s">
        <v>33</v>
      </c>
      <c r="AD251" s="8" t="s">
        <v>32</v>
      </c>
      <c r="AE251" s="8" t="s">
        <v>32</v>
      </c>
      <c r="AF251" s="4">
        <f t="shared" si="6"/>
        <v>4056</v>
      </c>
      <c r="AG251" s="4">
        <f t="shared" si="7"/>
        <v>1173.6099999999999</v>
      </c>
      <c r="AH251" s="5" t="s">
        <v>184</v>
      </c>
      <c r="AI251" s="11" t="s">
        <v>551</v>
      </c>
      <c r="AJ251" s="11" t="s">
        <v>541</v>
      </c>
      <c r="AK251" s="11" t="s">
        <v>237</v>
      </c>
    </row>
    <row r="252" spans="1:37" x14ac:dyDescent="0.3">
      <c r="A252" s="8" t="s">
        <v>150</v>
      </c>
      <c r="B252" s="8" t="s">
        <v>151</v>
      </c>
      <c r="C252" s="7">
        <v>45317</v>
      </c>
      <c r="D252" s="8" t="s">
        <v>464</v>
      </c>
      <c r="E252" s="8" t="s">
        <v>549</v>
      </c>
      <c r="F252" s="8" t="s">
        <v>549</v>
      </c>
      <c r="G252" s="8" t="s">
        <v>550</v>
      </c>
      <c r="H252" s="9">
        <v>6757</v>
      </c>
      <c r="I252" s="9">
        <v>1955.15</v>
      </c>
      <c r="L252" s="8" t="s">
        <v>119</v>
      </c>
      <c r="M252" s="8" t="s">
        <v>34</v>
      </c>
      <c r="N252" s="8" t="s">
        <v>29</v>
      </c>
      <c r="O252" s="8" t="s">
        <v>14</v>
      </c>
      <c r="P252" s="8" t="s">
        <v>30</v>
      </c>
      <c r="Q252" s="8" t="s">
        <v>549</v>
      </c>
      <c r="R252" s="8" t="s">
        <v>33</v>
      </c>
      <c r="S252" s="8" t="s">
        <v>530</v>
      </c>
      <c r="T252" s="8" t="s">
        <v>31</v>
      </c>
      <c r="U252" s="8" t="s">
        <v>32</v>
      </c>
      <c r="V252" s="8" t="s">
        <v>32</v>
      </c>
      <c r="W252" s="8" t="s">
        <v>33</v>
      </c>
      <c r="X252" s="8" t="s">
        <v>33</v>
      </c>
      <c r="Y252" s="8" t="s">
        <v>33</v>
      </c>
      <c r="Z252" s="8" t="s">
        <v>33</v>
      </c>
      <c r="AA252" s="8" t="s">
        <v>33</v>
      </c>
      <c r="AB252" s="8" t="s">
        <v>32</v>
      </c>
      <c r="AC252" s="8" t="s">
        <v>33</v>
      </c>
      <c r="AD252" s="8" t="s">
        <v>32</v>
      </c>
      <c r="AE252" s="8" t="s">
        <v>32</v>
      </c>
      <c r="AF252" s="4">
        <f t="shared" si="6"/>
        <v>6757</v>
      </c>
      <c r="AG252" s="4">
        <f t="shared" si="7"/>
        <v>1955.15</v>
      </c>
      <c r="AH252" s="5" t="s">
        <v>184</v>
      </c>
      <c r="AI252" s="11" t="s">
        <v>551</v>
      </c>
      <c r="AJ252" s="11" t="s">
        <v>541</v>
      </c>
      <c r="AK252" s="11" t="s">
        <v>237</v>
      </c>
    </row>
    <row r="253" spans="1:37" x14ac:dyDescent="0.3">
      <c r="A253" s="8" t="s">
        <v>176</v>
      </c>
      <c r="B253" s="8" t="s">
        <v>177</v>
      </c>
      <c r="C253" s="7">
        <v>45317</v>
      </c>
      <c r="D253" s="8" t="s">
        <v>465</v>
      </c>
      <c r="E253" s="8" t="s">
        <v>549</v>
      </c>
      <c r="F253" s="8" t="s">
        <v>549</v>
      </c>
      <c r="G253" s="8" t="s">
        <v>550</v>
      </c>
      <c r="H253" s="9">
        <v>3437</v>
      </c>
      <c r="I253" s="9">
        <v>994.5</v>
      </c>
      <c r="L253" s="8" t="s">
        <v>79</v>
      </c>
      <c r="M253" s="8" t="s">
        <v>34</v>
      </c>
      <c r="N253" s="8" t="s">
        <v>35</v>
      </c>
      <c r="O253" s="8" t="s">
        <v>14</v>
      </c>
      <c r="P253" s="8" t="s">
        <v>36</v>
      </c>
      <c r="Q253" s="8" t="s">
        <v>549</v>
      </c>
      <c r="R253" s="8" t="s">
        <v>33</v>
      </c>
      <c r="S253" s="8" t="s">
        <v>530</v>
      </c>
      <c r="T253" s="8" t="s">
        <v>37</v>
      </c>
      <c r="U253" s="8" t="s">
        <v>32</v>
      </c>
      <c r="V253" s="8" t="s">
        <v>32</v>
      </c>
      <c r="W253" s="8" t="s">
        <v>33</v>
      </c>
      <c r="X253" s="8" t="s">
        <v>33</v>
      </c>
      <c r="Y253" s="8" t="s">
        <v>33</v>
      </c>
      <c r="Z253" s="8" t="s">
        <v>33</v>
      </c>
      <c r="AA253" s="8" t="s">
        <v>33</v>
      </c>
      <c r="AB253" s="8" t="s">
        <v>32</v>
      </c>
      <c r="AC253" s="8" t="s">
        <v>33</v>
      </c>
      <c r="AD253" s="8" t="s">
        <v>32</v>
      </c>
      <c r="AE253" s="8" t="s">
        <v>32</v>
      </c>
      <c r="AF253" s="4">
        <f t="shared" si="6"/>
        <v>3437</v>
      </c>
      <c r="AG253" s="4">
        <f t="shared" si="7"/>
        <v>994.5</v>
      </c>
      <c r="AH253" s="5" t="s">
        <v>185</v>
      </c>
      <c r="AI253" s="11" t="s">
        <v>231</v>
      </c>
      <c r="AJ253" s="11" t="s">
        <v>542</v>
      </c>
      <c r="AK253" s="11" t="s">
        <v>238</v>
      </c>
    </row>
    <row r="254" spans="1:37" x14ac:dyDescent="0.3">
      <c r="A254" s="8" t="s">
        <v>166</v>
      </c>
      <c r="B254" s="8" t="s">
        <v>167</v>
      </c>
      <c r="C254" s="7">
        <v>45317</v>
      </c>
      <c r="D254" s="8" t="s">
        <v>466</v>
      </c>
      <c r="E254" s="8" t="s">
        <v>549</v>
      </c>
      <c r="F254" s="8" t="s">
        <v>549</v>
      </c>
      <c r="G254" s="8" t="s">
        <v>550</v>
      </c>
      <c r="H254" s="9">
        <v>1128</v>
      </c>
      <c r="I254" s="9">
        <v>326.39</v>
      </c>
      <c r="L254" s="8" t="s">
        <v>119</v>
      </c>
      <c r="M254" s="8" t="s">
        <v>34</v>
      </c>
      <c r="N254" s="8" t="s">
        <v>35</v>
      </c>
      <c r="O254" s="8" t="s">
        <v>14</v>
      </c>
      <c r="P254" s="8" t="s">
        <v>36</v>
      </c>
      <c r="Q254" s="8" t="s">
        <v>549</v>
      </c>
      <c r="R254" s="8" t="s">
        <v>33</v>
      </c>
      <c r="S254" s="8" t="s">
        <v>530</v>
      </c>
      <c r="T254" s="8" t="s">
        <v>37</v>
      </c>
      <c r="U254" s="8" t="s">
        <v>32</v>
      </c>
      <c r="V254" s="8" t="s">
        <v>32</v>
      </c>
      <c r="W254" s="8" t="s">
        <v>33</v>
      </c>
      <c r="X254" s="8" t="s">
        <v>33</v>
      </c>
      <c r="Y254" s="8" t="s">
        <v>33</v>
      </c>
      <c r="Z254" s="8" t="s">
        <v>33</v>
      </c>
      <c r="AA254" s="8" t="s">
        <v>33</v>
      </c>
      <c r="AB254" s="8" t="s">
        <v>32</v>
      </c>
      <c r="AC254" s="8" t="s">
        <v>33</v>
      </c>
      <c r="AD254" s="8" t="s">
        <v>32</v>
      </c>
      <c r="AE254" s="8" t="s">
        <v>32</v>
      </c>
      <c r="AF254" s="4">
        <f t="shared" si="6"/>
        <v>1128</v>
      </c>
      <c r="AG254" s="4">
        <f t="shared" si="7"/>
        <v>326.39</v>
      </c>
      <c r="AH254" s="5" t="s">
        <v>184</v>
      </c>
      <c r="AI254" s="11" t="s">
        <v>230</v>
      </c>
      <c r="AJ254" s="11" t="s">
        <v>541</v>
      </c>
      <c r="AK254" s="11" t="s">
        <v>237</v>
      </c>
    </row>
    <row r="255" spans="1:37" x14ac:dyDescent="0.3">
      <c r="A255" s="8" t="s">
        <v>150</v>
      </c>
      <c r="B255" s="8" t="s">
        <v>151</v>
      </c>
      <c r="C255" s="7">
        <v>45317</v>
      </c>
      <c r="D255" s="8" t="s">
        <v>467</v>
      </c>
      <c r="E255" s="8" t="s">
        <v>549</v>
      </c>
      <c r="F255" s="8" t="s">
        <v>549</v>
      </c>
      <c r="G255" s="8" t="s">
        <v>550</v>
      </c>
      <c r="H255" s="9">
        <v>6050</v>
      </c>
      <c r="I255" s="9">
        <v>1750.58</v>
      </c>
      <c r="L255" s="8" t="s">
        <v>119</v>
      </c>
      <c r="M255" s="8" t="s">
        <v>34</v>
      </c>
      <c r="N255" s="8" t="s">
        <v>35</v>
      </c>
      <c r="O255" s="8" t="s">
        <v>14</v>
      </c>
      <c r="P255" s="8" t="s">
        <v>36</v>
      </c>
      <c r="Q255" s="8" t="s">
        <v>549</v>
      </c>
      <c r="R255" s="8" t="s">
        <v>33</v>
      </c>
      <c r="S255" s="8" t="s">
        <v>530</v>
      </c>
      <c r="T255" s="8" t="s">
        <v>37</v>
      </c>
      <c r="U255" s="8" t="s">
        <v>32</v>
      </c>
      <c r="V255" s="8" t="s">
        <v>32</v>
      </c>
      <c r="W255" s="8" t="s">
        <v>33</v>
      </c>
      <c r="X255" s="8" t="s">
        <v>33</v>
      </c>
      <c r="Y255" s="8" t="s">
        <v>33</v>
      </c>
      <c r="Z255" s="8" t="s">
        <v>33</v>
      </c>
      <c r="AA255" s="8" t="s">
        <v>33</v>
      </c>
      <c r="AB255" s="8" t="s">
        <v>32</v>
      </c>
      <c r="AC255" s="8" t="s">
        <v>33</v>
      </c>
      <c r="AD255" s="8" t="s">
        <v>32</v>
      </c>
      <c r="AE255" s="8" t="s">
        <v>32</v>
      </c>
      <c r="AF255" s="4">
        <f t="shared" si="6"/>
        <v>6050</v>
      </c>
      <c r="AG255" s="4">
        <f t="shared" si="7"/>
        <v>1750.58</v>
      </c>
      <c r="AH255" s="5" t="s">
        <v>184</v>
      </c>
      <c r="AI255" s="11" t="s">
        <v>551</v>
      </c>
      <c r="AJ255" s="11" t="s">
        <v>541</v>
      </c>
      <c r="AK255" s="11" t="s">
        <v>237</v>
      </c>
    </row>
    <row r="256" spans="1:37" x14ac:dyDescent="0.3">
      <c r="A256" s="8" t="s">
        <v>156</v>
      </c>
      <c r="B256" s="8" t="s">
        <v>157</v>
      </c>
      <c r="C256" s="7">
        <v>45317</v>
      </c>
      <c r="D256" s="8" t="s">
        <v>468</v>
      </c>
      <c r="E256" s="8" t="s">
        <v>549</v>
      </c>
      <c r="F256" s="8" t="s">
        <v>549</v>
      </c>
      <c r="G256" s="8" t="s">
        <v>550</v>
      </c>
      <c r="H256" s="9">
        <v>5301</v>
      </c>
      <c r="I256" s="9">
        <v>1533.85</v>
      </c>
      <c r="L256" s="8" t="s">
        <v>79</v>
      </c>
      <c r="M256" s="8" t="s">
        <v>34</v>
      </c>
      <c r="N256" s="8" t="s">
        <v>35</v>
      </c>
      <c r="O256" s="8" t="s">
        <v>14</v>
      </c>
      <c r="P256" s="8" t="s">
        <v>36</v>
      </c>
      <c r="Q256" s="8" t="s">
        <v>549</v>
      </c>
      <c r="R256" s="8" t="s">
        <v>33</v>
      </c>
      <c r="S256" s="8" t="s">
        <v>530</v>
      </c>
      <c r="T256" s="8" t="s">
        <v>37</v>
      </c>
      <c r="U256" s="8" t="s">
        <v>32</v>
      </c>
      <c r="V256" s="8" t="s">
        <v>32</v>
      </c>
      <c r="W256" s="8" t="s">
        <v>33</v>
      </c>
      <c r="X256" s="8" t="s">
        <v>33</v>
      </c>
      <c r="Y256" s="8" t="s">
        <v>33</v>
      </c>
      <c r="Z256" s="8" t="s">
        <v>33</v>
      </c>
      <c r="AA256" s="8" t="s">
        <v>33</v>
      </c>
      <c r="AB256" s="8" t="s">
        <v>32</v>
      </c>
      <c r="AC256" s="8" t="s">
        <v>33</v>
      </c>
      <c r="AD256" s="8" t="s">
        <v>32</v>
      </c>
      <c r="AE256" s="8" t="s">
        <v>32</v>
      </c>
      <c r="AF256" s="4">
        <f t="shared" si="6"/>
        <v>5301</v>
      </c>
      <c r="AG256" s="4">
        <f t="shared" si="7"/>
        <v>1533.85</v>
      </c>
      <c r="AH256" s="5" t="s">
        <v>185</v>
      </c>
      <c r="AI256" s="11" t="s">
        <v>556</v>
      </c>
      <c r="AJ256" s="11" t="s">
        <v>542</v>
      </c>
      <c r="AK256" s="11" t="s">
        <v>238</v>
      </c>
    </row>
    <row r="257" spans="1:37" x14ac:dyDescent="0.3">
      <c r="A257" s="8" t="s">
        <v>160</v>
      </c>
      <c r="B257" s="8" t="s">
        <v>161</v>
      </c>
      <c r="C257" s="7">
        <v>45317</v>
      </c>
      <c r="D257" s="8" t="s">
        <v>469</v>
      </c>
      <c r="E257" s="8" t="s">
        <v>549</v>
      </c>
      <c r="F257" s="8" t="s">
        <v>549</v>
      </c>
      <c r="G257" s="8" t="s">
        <v>550</v>
      </c>
      <c r="H257" s="9">
        <v>4256</v>
      </c>
      <c r="I257" s="9">
        <v>1231.48</v>
      </c>
      <c r="L257" s="8" t="s">
        <v>120</v>
      </c>
      <c r="M257" s="8" t="s">
        <v>34</v>
      </c>
      <c r="N257" s="8" t="s">
        <v>35</v>
      </c>
      <c r="O257" s="8" t="s">
        <v>14</v>
      </c>
      <c r="P257" s="8" t="s">
        <v>36</v>
      </c>
      <c r="Q257" s="8" t="s">
        <v>549</v>
      </c>
      <c r="R257" s="8" t="s">
        <v>33</v>
      </c>
      <c r="S257" s="8" t="s">
        <v>530</v>
      </c>
      <c r="T257" s="8" t="s">
        <v>37</v>
      </c>
      <c r="U257" s="8" t="s">
        <v>32</v>
      </c>
      <c r="V257" s="8" t="s">
        <v>32</v>
      </c>
      <c r="W257" s="8" t="s">
        <v>33</v>
      </c>
      <c r="X257" s="8" t="s">
        <v>33</v>
      </c>
      <c r="Y257" s="8" t="s">
        <v>33</v>
      </c>
      <c r="Z257" s="8" t="s">
        <v>33</v>
      </c>
      <c r="AA257" s="8" t="s">
        <v>33</v>
      </c>
      <c r="AB257" s="8" t="s">
        <v>32</v>
      </c>
      <c r="AC257" s="8" t="s">
        <v>33</v>
      </c>
      <c r="AD257" s="8" t="s">
        <v>32</v>
      </c>
      <c r="AE257" s="8" t="s">
        <v>32</v>
      </c>
      <c r="AF257" s="4">
        <f t="shared" si="6"/>
        <v>4256</v>
      </c>
      <c r="AG257" s="4">
        <f t="shared" si="7"/>
        <v>1231.48</v>
      </c>
      <c r="AH257" s="5" t="s">
        <v>184</v>
      </c>
      <c r="AI257" s="11" t="s">
        <v>216</v>
      </c>
      <c r="AJ257" s="11" t="s">
        <v>546</v>
      </c>
      <c r="AK257" s="11" t="s">
        <v>237</v>
      </c>
    </row>
    <row r="258" spans="1:37" x14ac:dyDescent="0.3">
      <c r="A258" s="8" t="s">
        <v>166</v>
      </c>
      <c r="B258" s="8" t="s">
        <v>167</v>
      </c>
      <c r="C258" s="7">
        <v>45317</v>
      </c>
      <c r="D258" s="8" t="s">
        <v>470</v>
      </c>
      <c r="E258" s="8" t="s">
        <v>549</v>
      </c>
      <c r="F258" s="8" t="s">
        <v>549</v>
      </c>
      <c r="G258" s="8" t="s">
        <v>550</v>
      </c>
      <c r="H258" s="9">
        <v>2585</v>
      </c>
      <c r="I258" s="9">
        <v>747.97</v>
      </c>
      <c r="L258" s="8" t="s">
        <v>119</v>
      </c>
      <c r="M258" s="8" t="s">
        <v>34</v>
      </c>
      <c r="N258" s="8" t="s">
        <v>35</v>
      </c>
      <c r="O258" s="8" t="s">
        <v>14</v>
      </c>
      <c r="P258" s="8" t="s">
        <v>36</v>
      </c>
      <c r="Q258" s="8" t="s">
        <v>549</v>
      </c>
      <c r="R258" s="8" t="s">
        <v>33</v>
      </c>
      <c r="S258" s="8" t="s">
        <v>530</v>
      </c>
      <c r="T258" s="8" t="s">
        <v>37</v>
      </c>
      <c r="U258" s="8" t="s">
        <v>32</v>
      </c>
      <c r="V258" s="8" t="s">
        <v>32</v>
      </c>
      <c r="W258" s="8" t="s">
        <v>33</v>
      </c>
      <c r="X258" s="8" t="s">
        <v>33</v>
      </c>
      <c r="Y258" s="8" t="s">
        <v>33</v>
      </c>
      <c r="Z258" s="8" t="s">
        <v>33</v>
      </c>
      <c r="AA258" s="8" t="s">
        <v>33</v>
      </c>
      <c r="AB258" s="8" t="s">
        <v>32</v>
      </c>
      <c r="AC258" s="8" t="s">
        <v>33</v>
      </c>
      <c r="AD258" s="8" t="s">
        <v>32</v>
      </c>
      <c r="AE258" s="8" t="s">
        <v>32</v>
      </c>
      <c r="AF258" s="4">
        <f t="shared" ref="AF258:AF321" si="8">+H258-J258</f>
        <v>2585</v>
      </c>
      <c r="AG258" s="4">
        <f t="shared" ref="AG258:AG321" si="9">+I258-K258</f>
        <v>747.97</v>
      </c>
      <c r="AH258" s="5" t="s">
        <v>184</v>
      </c>
      <c r="AI258" s="11" t="s">
        <v>230</v>
      </c>
      <c r="AJ258" s="11" t="s">
        <v>541</v>
      </c>
      <c r="AK258" s="11" t="s">
        <v>237</v>
      </c>
    </row>
    <row r="259" spans="1:37" x14ac:dyDescent="0.3">
      <c r="A259" s="8" t="s">
        <v>136</v>
      </c>
      <c r="B259" s="8" t="s">
        <v>137</v>
      </c>
      <c r="C259" s="7">
        <v>45317</v>
      </c>
      <c r="D259" s="8" t="s">
        <v>471</v>
      </c>
      <c r="E259" s="8" t="s">
        <v>549</v>
      </c>
      <c r="F259" s="8" t="s">
        <v>549</v>
      </c>
      <c r="G259" s="8" t="s">
        <v>550</v>
      </c>
      <c r="H259" s="9">
        <v>5538</v>
      </c>
      <c r="I259" s="9">
        <v>1602.43</v>
      </c>
      <c r="L259" s="8" t="s">
        <v>77</v>
      </c>
      <c r="M259" s="8" t="s">
        <v>34</v>
      </c>
      <c r="N259" s="8" t="s">
        <v>35</v>
      </c>
      <c r="O259" s="8" t="s">
        <v>14</v>
      </c>
      <c r="P259" s="8" t="s">
        <v>36</v>
      </c>
      <c r="Q259" s="8" t="s">
        <v>549</v>
      </c>
      <c r="R259" s="8" t="s">
        <v>33</v>
      </c>
      <c r="S259" s="8" t="s">
        <v>530</v>
      </c>
      <c r="T259" s="8" t="s">
        <v>37</v>
      </c>
      <c r="U259" s="8" t="s">
        <v>32</v>
      </c>
      <c r="V259" s="8" t="s">
        <v>32</v>
      </c>
      <c r="W259" s="8" t="s">
        <v>33</v>
      </c>
      <c r="X259" s="8" t="s">
        <v>33</v>
      </c>
      <c r="Y259" s="8" t="s">
        <v>33</v>
      </c>
      <c r="Z259" s="8" t="s">
        <v>33</v>
      </c>
      <c r="AA259" s="8" t="s">
        <v>33</v>
      </c>
      <c r="AB259" s="8" t="s">
        <v>32</v>
      </c>
      <c r="AC259" s="8" t="s">
        <v>33</v>
      </c>
      <c r="AD259" s="8" t="s">
        <v>32</v>
      </c>
      <c r="AE259" s="8" t="s">
        <v>32</v>
      </c>
      <c r="AF259" s="4">
        <f t="shared" si="8"/>
        <v>5538</v>
      </c>
      <c r="AG259" s="4">
        <f t="shared" si="9"/>
        <v>1602.43</v>
      </c>
      <c r="AH259" s="5" t="s">
        <v>185</v>
      </c>
      <c r="AI259" s="11" t="s">
        <v>217</v>
      </c>
      <c r="AJ259" s="11" t="s">
        <v>211</v>
      </c>
      <c r="AK259" s="11" t="s">
        <v>235</v>
      </c>
    </row>
    <row r="260" spans="1:37" x14ac:dyDescent="0.3">
      <c r="A260" s="8" t="s">
        <v>166</v>
      </c>
      <c r="B260" s="8" t="s">
        <v>167</v>
      </c>
      <c r="C260" s="7">
        <v>45317</v>
      </c>
      <c r="D260" s="8" t="s">
        <v>472</v>
      </c>
      <c r="E260" s="8" t="s">
        <v>549</v>
      </c>
      <c r="F260" s="8" t="s">
        <v>549</v>
      </c>
      <c r="G260" s="8" t="s">
        <v>550</v>
      </c>
      <c r="H260" s="9">
        <v>2773</v>
      </c>
      <c r="I260" s="9">
        <v>802.37</v>
      </c>
      <c r="L260" s="8" t="s">
        <v>77</v>
      </c>
      <c r="M260" s="8" t="s">
        <v>34</v>
      </c>
      <c r="N260" s="8" t="s">
        <v>35</v>
      </c>
      <c r="O260" s="8" t="s">
        <v>14</v>
      </c>
      <c r="P260" s="8" t="s">
        <v>36</v>
      </c>
      <c r="Q260" s="8" t="s">
        <v>549</v>
      </c>
      <c r="R260" s="8" t="s">
        <v>33</v>
      </c>
      <c r="S260" s="8" t="s">
        <v>530</v>
      </c>
      <c r="T260" s="8" t="s">
        <v>37</v>
      </c>
      <c r="U260" s="8" t="s">
        <v>32</v>
      </c>
      <c r="V260" s="8" t="s">
        <v>32</v>
      </c>
      <c r="W260" s="8" t="s">
        <v>33</v>
      </c>
      <c r="X260" s="8" t="s">
        <v>33</v>
      </c>
      <c r="Y260" s="8" t="s">
        <v>33</v>
      </c>
      <c r="Z260" s="8" t="s">
        <v>33</v>
      </c>
      <c r="AA260" s="8" t="s">
        <v>33</v>
      </c>
      <c r="AB260" s="8" t="s">
        <v>32</v>
      </c>
      <c r="AC260" s="8" t="s">
        <v>33</v>
      </c>
      <c r="AD260" s="8" t="s">
        <v>32</v>
      </c>
      <c r="AE260" s="8" t="s">
        <v>32</v>
      </c>
      <c r="AF260" s="4">
        <f t="shared" si="8"/>
        <v>2773</v>
      </c>
      <c r="AG260" s="4">
        <f t="shared" si="9"/>
        <v>802.37</v>
      </c>
      <c r="AH260" s="5" t="s">
        <v>185</v>
      </c>
      <c r="AI260" s="11" t="s">
        <v>230</v>
      </c>
      <c r="AJ260" s="11" t="s">
        <v>211</v>
      </c>
      <c r="AK260" s="11" t="s">
        <v>235</v>
      </c>
    </row>
    <row r="261" spans="1:37" x14ac:dyDescent="0.3">
      <c r="A261" s="8" t="s">
        <v>136</v>
      </c>
      <c r="B261" s="8" t="s">
        <v>137</v>
      </c>
      <c r="C261" s="7">
        <v>45317</v>
      </c>
      <c r="D261" s="8" t="s">
        <v>473</v>
      </c>
      <c r="E261" s="8" t="s">
        <v>549</v>
      </c>
      <c r="F261" s="8" t="s">
        <v>549</v>
      </c>
      <c r="G261" s="8" t="s">
        <v>550</v>
      </c>
      <c r="H261" s="9">
        <v>2882</v>
      </c>
      <c r="I261" s="9">
        <v>833.91</v>
      </c>
      <c r="L261" s="8" t="s">
        <v>77</v>
      </c>
      <c r="M261" s="8" t="s">
        <v>34</v>
      </c>
      <c r="N261" s="8" t="s">
        <v>35</v>
      </c>
      <c r="O261" s="8" t="s">
        <v>14</v>
      </c>
      <c r="P261" s="8" t="s">
        <v>36</v>
      </c>
      <c r="Q261" s="8" t="s">
        <v>549</v>
      </c>
      <c r="R261" s="8" t="s">
        <v>33</v>
      </c>
      <c r="S261" s="8" t="s">
        <v>530</v>
      </c>
      <c r="T261" s="8" t="s">
        <v>37</v>
      </c>
      <c r="U261" s="8" t="s">
        <v>32</v>
      </c>
      <c r="V261" s="8" t="s">
        <v>32</v>
      </c>
      <c r="W261" s="8" t="s">
        <v>33</v>
      </c>
      <c r="X261" s="8" t="s">
        <v>33</v>
      </c>
      <c r="Y261" s="8" t="s">
        <v>33</v>
      </c>
      <c r="Z261" s="8" t="s">
        <v>33</v>
      </c>
      <c r="AA261" s="8" t="s">
        <v>33</v>
      </c>
      <c r="AB261" s="8" t="s">
        <v>32</v>
      </c>
      <c r="AC261" s="8" t="s">
        <v>33</v>
      </c>
      <c r="AD261" s="8" t="s">
        <v>32</v>
      </c>
      <c r="AE261" s="8" t="s">
        <v>32</v>
      </c>
      <c r="AF261" s="4">
        <f t="shared" si="8"/>
        <v>2882</v>
      </c>
      <c r="AG261" s="4">
        <f t="shared" si="9"/>
        <v>833.91</v>
      </c>
      <c r="AH261" s="5" t="s">
        <v>185</v>
      </c>
      <c r="AI261" s="11" t="s">
        <v>217</v>
      </c>
      <c r="AJ261" s="11" t="s">
        <v>211</v>
      </c>
      <c r="AK261" s="11" t="s">
        <v>235</v>
      </c>
    </row>
    <row r="262" spans="1:37" x14ac:dyDescent="0.3">
      <c r="A262" s="8" t="s">
        <v>107</v>
      </c>
      <c r="B262" s="8" t="s">
        <v>108</v>
      </c>
      <c r="C262" s="7">
        <v>45317</v>
      </c>
      <c r="D262" s="8" t="s">
        <v>474</v>
      </c>
      <c r="E262" s="8" t="s">
        <v>549</v>
      </c>
      <c r="F262" s="8" t="s">
        <v>549</v>
      </c>
      <c r="G262" s="8" t="s">
        <v>550</v>
      </c>
      <c r="H262" s="9">
        <v>3656</v>
      </c>
      <c r="I262" s="9">
        <v>1057.8699999999999</v>
      </c>
      <c r="L262" s="8" t="s">
        <v>192</v>
      </c>
      <c r="M262" s="8" t="s">
        <v>28</v>
      </c>
      <c r="N262" s="8" t="s">
        <v>35</v>
      </c>
      <c r="O262" s="8" t="s">
        <v>14</v>
      </c>
      <c r="P262" s="8" t="s">
        <v>36</v>
      </c>
      <c r="Q262" s="8" t="s">
        <v>549</v>
      </c>
      <c r="R262" s="8" t="s">
        <v>33</v>
      </c>
      <c r="S262" s="8" t="s">
        <v>530</v>
      </c>
      <c r="T262" s="8" t="s">
        <v>37</v>
      </c>
      <c r="U262" s="8" t="s">
        <v>32</v>
      </c>
      <c r="V262" s="8" t="s">
        <v>32</v>
      </c>
      <c r="W262" s="8" t="s">
        <v>33</v>
      </c>
      <c r="X262" s="8" t="s">
        <v>33</v>
      </c>
      <c r="Y262" s="8" t="s">
        <v>33</v>
      </c>
      <c r="Z262" s="8" t="s">
        <v>33</v>
      </c>
      <c r="AA262" s="8" t="s">
        <v>33</v>
      </c>
      <c r="AB262" s="8" t="s">
        <v>32</v>
      </c>
      <c r="AC262" s="8" t="s">
        <v>33</v>
      </c>
      <c r="AD262" s="8" t="s">
        <v>32</v>
      </c>
      <c r="AE262" s="8" t="s">
        <v>32</v>
      </c>
      <c r="AF262" s="4">
        <f t="shared" si="8"/>
        <v>3656</v>
      </c>
      <c r="AG262" s="4">
        <f t="shared" si="9"/>
        <v>1057.8699999999999</v>
      </c>
      <c r="AH262" s="5" t="s">
        <v>185</v>
      </c>
      <c r="AI262" s="11" t="s">
        <v>554</v>
      </c>
      <c r="AJ262" s="11" t="s">
        <v>547</v>
      </c>
      <c r="AK262" s="11" t="s">
        <v>236</v>
      </c>
    </row>
    <row r="263" spans="1:37" x14ac:dyDescent="0.3">
      <c r="A263" s="8" t="s">
        <v>107</v>
      </c>
      <c r="B263" s="8" t="s">
        <v>108</v>
      </c>
      <c r="C263" s="7">
        <v>45317</v>
      </c>
      <c r="D263" s="8" t="s">
        <v>475</v>
      </c>
      <c r="E263" s="8" t="s">
        <v>549</v>
      </c>
      <c r="F263" s="8" t="s">
        <v>549</v>
      </c>
      <c r="G263" s="8" t="s">
        <v>550</v>
      </c>
      <c r="H263" s="9">
        <v>5200</v>
      </c>
      <c r="I263" s="9">
        <v>1504.63</v>
      </c>
      <c r="L263" s="8" t="s">
        <v>192</v>
      </c>
      <c r="M263" s="8" t="s">
        <v>28</v>
      </c>
      <c r="N263" s="8" t="s">
        <v>35</v>
      </c>
      <c r="O263" s="8" t="s">
        <v>14</v>
      </c>
      <c r="P263" s="8" t="s">
        <v>36</v>
      </c>
      <c r="Q263" s="8" t="s">
        <v>549</v>
      </c>
      <c r="R263" s="8" t="s">
        <v>33</v>
      </c>
      <c r="S263" s="8" t="s">
        <v>530</v>
      </c>
      <c r="T263" s="8" t="s">
        <v>37</v>
      </c>
      <c r="U263" s="8" t="s">
        <v>32</v>
      </c>
      <c r="V263" s="8" t="s">
        <v>32</v>
      </c>
      <c r="W263" s="8" t="s">
        <v>33</v>
      </c>
      <c r="X263" s="8" t="s">
        <v>33</v>
      </c>
      <c r="Y263" s="8" t="s">
        <v>33</v>
      </c>
      <c r="Z263" s="8" t="s">
        <v>33</v>
      </c>
      <c r="AA263" s="8" t="s">
        <v>33</v>
      </c>
      <c r="AB263" s="8" t="s">
        <v>32</v>
      </c>
      <c r="AC263" s="8" t="s">
        <v>33</v>
      </c>
      <c r="AD263" s="8" t="s">
        <v>32</v>
      </c>
      <c r="AE263" s="8" t="s">
        <v>32</v>
      </c>
      <c r="AF263" s="4">
        <f t="shared" si="8"/>
        <v>5200</v>
      </c>
      <c r="AG263" s="4">
        <f t="shared" si="9"/>
        <v>1504.63</v>
      </c>
      <c r="AH263" s="5" t="s">
        <v>185</v>
      </c>
      <c r="AI263" s="11" t="s">
        <v>554</v>
      </c>
      <c r="AJ263" s="11" t="s">
        <v>547</v>
      </c>
      <c r="AK263" s="11" t="s">
        <v>236</v>
      </c>
    </row>
    <row r="264" spans="1:37" x14ac:dyDescent="0.3">
      <c r="A264" s="8" t="s">
        <v>111</v>
      </c>
      <c r="B264" s="8" t="s">
        <v>112</v>
      </c>
      <c r="C264" s="7">
        <v>45317</v>
      </c>
      <c r="D264" s="8" t="s">
        <v>476</v>
      </c>
      <c r="E264" s="8" t="s">
        <v>549</v>
      </c>
      <c r="F264" s="8" t="s">
        <v>549</v>
      </c>
      <c r="G264" s="8" t="s">
        <v>550</v>
      </c>
      <c r="H264" s="9">
        <v>3945</v>
      </c>
      <c r="I264" s="9">
        <v>1141.49</v>
      </c>
      <c r="L264" s="8" t="s">
        <v>100</v>
      </c>
      <c r="M264" s="8" t="s">
        <v>34</v>
      </c>
      <c r="N264" s="8" t="s">
        <v>35</v>
      </c>
      <c r="O264" s="8" t="s">
        <v>14</v>
      </c>
      <c r="P264" s="8" t="s">
        <v>36</v>
      </c>
      <c r="Q264" s="8" t="s">
        <v>549</v>
      </c>
      <c r="R264" s="8" t="s">
        <v>33</v>
      </c>
      <c r="S264" s="8" t="s">
        <v>530</v>
      </c>
      <c r="T264" s="8" t="s">
        <v>37</v>
      </c>
      <c r="U264" s="8" t="s">
        <v>32</v>
      </c>
      <c r="V264" s="8" t="s">
        <v>32</v>
      </c>
      <c r="W264" s="8" t="s">
        <v>33</v>
      </c>
      <c r="X264" s="8" t="s">
        <v>33</v>
      </c>
      <c r="Y264" s="8" t="s">
        <v>33</v>
      </c>
      <c r="Z264" s="8" t="s">
        <v>33</v>
      </c>
      <c r="AA264" s="8" t="s">
        <v>33</v>
      </c>
      <c r="AB264" s="8" t="s">
        <v>32</v>
      </c>
      <c r="AC264" s="8" t="s">
        <v>33</v>
      </c>
      <c r="AD264" s="8" t="s">
        <v>32</v>
      </c>
      <c r="AE264" s="8" t="s">
        <v>32</v>
      </c>
      <c r="AF264" s="4">
        <f t="shared" si="8"/>
        <v>3945</v>
      </c>
      <c r="AG264" s="4">
        <f t="shared" si="9"/>
        <v>1141.49</v>
      </c>
      <c r="AH264" s="5" t="s">
        <v>185</v>
      </c>
      <c r="AI264" s="11" t="s">
        <v>229</v>
      </c>
      <c r="AJ264" s="11" t="s">
        <v>212</v>
      </c>
      <c r="AK264" s="11" t="s">
        <v>235</v>
      </c>
    </row>
    <row r="265" spans="1:37" x14ac:dyDescent="0.3">
      <c r="A265" s="8" t="s">
        <v>101</v>
      </c>
      <c r="B265" s="8" t="s">
        <v>102</v>
      </c>
      <c r="C265" s="7">
        <v>45317</v>
      </c>
      <c r="D265" s="8" t="s">
        <v>477</v>
      </c>
      <c r="E265" s="8" t="s">
        <v>549</v>
      </c>
      <c r="F265" s="8" t="s">
        <v>549</v>
      </c>
      <c r="G265" s="8" t="s">
        <v>550</v>
      </c>
      <c r="H265" s="9">
        <v>6680</v>
      </c>
      <c r="I265" s="9">
        <v>1932.87</v>
      </c>
      <c r="L265" s="8" t="s">
        <v>79</v>
      </c>
      <c r="M265" s="8" t="s">
        <v>34</v>
      </c>
      <c r="N265" s="8" t="s">
        <v>35</v>
      </c>
      <c r="O265" s="8" t="s">
        <v>14</v>
      </c>
      <c r="P265" s="8" t="s">
        <v>36</v>
      </c>
      <c r="Q265" s="8" t="s">
        <v>549</v>
      </c>
      <c r="R265" s="8" t="s">
        <v>33</v>
      </c>
      <c r="S265" s="8" t="s">
        <v>530</v>
      </c>
      <c r="T265" s="8" t="s">
        <v>37</v>
      </c>
      <c r="U265" s="8" t="s">
        <v>32</v>
      </c>
      <c r="V265" s="8" t="s">
        <v>32</v>
      </c>
      <c r="W265" s="8" t="s">
        <v>33</v>
      </c>
      <c r="X265" s="8" t="s">
        <v>33</v>
      </c>
      <c r="Y265" s="8" t="s">
        <v>33</v>
      </c>
      <c r="Z265" s="8" t="s">
        <v>33</v>
      </c>
      <c r="AA265" s="8" t="s">
        <v>33</v>
      </c>
      <c r="AB265" s="8" t="s">
        <v>32</v>
      </c>
      <c r="AC265" s="8" t="s">
        <v>33</v>
      </c>
      <c r="AD265" s="8" t="s">
        <v>32</v>
      </c>
      <c r="AE265" s="8" t="s">
        <v>32</v>
      </c>
      <c r="AF265" s="4">
        <f t="shared" si="8"/>
        <v>6680</v>
      </c>
      <c r="AG265" s="4">
        <f t="shared" si="9"/>
        <v>1932.87</v>
      </c>
      <c r="AH265" s="5" t="s">
        <v>185</v>
      </c>
      <c r="AI265" s="11" t="s">
        <v>223</v>
      </c>
      <c r="AJ265" s="11" t="s">
        <v>542</v>
      </c>
      <c r="AK265" s="11" t="s">
        <v>238</v>
      </c>
    </row>
    <row r="266" spans="1:37" x14ac:dyDescent="0.3">
      <c r="A266" s="8" t="s">
        <v>176</v>
      </c>
      <c r="B266" s="8" t="s">
        <v>177</v>
      </c>
      <c r="C266" s="7">
        <v>45317</v>
      </c>
      <c r="D266" s="8" t="s">
        <v>478</v>
      </c>
      <c r="E266" s="8" t="s">
        <v>549</v>
      </c>
      <c r="F266" s="8" t="s">
        <v>549</v>
      </c>
      <c r="G266" s="8" t="s">
        <v>550</v>
      </c>
      <c r="H266" s="9">
        <v>1913</v>
      </c>
      <c r="I266" s="9">
        <v>553.53</v>
      </c>
      <c r="L266" s="8" t="s">
        <v>79</v>
      </c>
      <c r="M266" s="8" t="s">
        <v>34</v>
      </c>
      <c r="N266" s="8" t="s">
        <v>35</v>
      </c>
      <c r="O266" s="8" t="s">
        <v>14</v>
      </c>
      <c r="P266" s="8" t="s">
        <v>36</v>
      </c>
      <c r="Q266" s="8" t="s">
        <v>549</v>
      </c>
      <c r="R266" s="8" t="s">
        <v>33</v>
      </c>
      <c r="S266" s="8" t="s">
        <v>530</v>
      </c>
      <c r="T266" s="8" t="s">
        <v>37</v>
      </c>
      <c r="U266" s="8" t="s">
        <v>32</v>
      </c>
      <c r="V266" s="8" t="s">
        <v>32</v>
      </c>
      <c r="W266" s="8" t="s">
        <v>33</v>
      </c>
      <c r="X266" s="8" t="s">
        <v>33</v>
      </c>
      <c r="Y266" s="8" t="s">
        <v>33</v>
      </c>
      <c r="Z266" s="8" t="s">
        <v>33</v>
      </c>
      <c r="AA266" s="8" t="s">
        <v>33</v>
      </c>
      <c r="AB266" s="8" t="s">
        <v>32</v>
      </c>
      <c r="AC266" s="8" t="s">
        <v>33</v>
      </c>
      <c r="AD266" s="8" t="s">
        <v>32</v>
      </c>
      <c r="AE266" s="8" t="s">
        <v>32</v>
      </c>
      <c r="AF266" s="4">
        <f t="shared" si="8"/>
        <v>1913</v>
      </c>
      <c r="AG266" s="4">
        <f t="shared" si="9"/>
        <v>553.53</v>
      </c>
      <c r="AH266" s="5" t="s">
        <v>185</v>
      </c>
      <c r="AI266" s="11" t="s">
        <v>231</v>
      </c>
      <c r="AJ266" s="11" t="s">
        <v>542</v>
      </c>
      <c r="AK266" s="11" t="s">
        <v>238</v>
      </c>
    </row>
    <row r="267" spans="1:37" x14ac:dyDescent="0.3">
      <c r="A267" s="8" t="s">
        <v>150</v>
      </c>
      <c r="B267" s="8" t="s">
        <v>151</v>
      </c>
      <c r="C267" s="7">
        <v>45317</v>
      </c>
      <c r="D267" s="8" t="s">
        <v>479</v>
      </c>
      <c r="E267" s="8" t="s">
        <v>549</v>
      </c>
      <c r="F267" s="8" t="s">
        <v>549</v>
      </c>
      <c r="G267" s="8" t="s">
        <v>550</v>
      </c>
      <c r="H267" s="9">
        <v>2277</v>
      </c>
      <c r="I267" s="9">
        <v>658.85</v>
      </c>
      <c r="L267" s="8" t="s">
        <v>119</v>
      </c>
      <c r="M267" s="8" t="s">
        <v>34</v>
      </c>
      <c r="N267" s="8" t="s">
        <v>35</v>
      </c>
      <c r="O267" s="8" t="s">
        <v>14</v>
      </c>
      <c r="P267" s="8" t="s">
        <v>36</v>
      </c>
      <c r="Q267" s="8" t="s">
        <v>549</v>
      </c>
      <c r="R267" s="8" t="s">
        <v>33</v>
      </c>
      <c r="S267" s="8" t="s">
        <v>530</v>
      </c>
      <c r="T267" s="8" t="s">
        <v>37</v>
      </c>
      <c r="U267" s="8" t="s">
        <v>32</v>
      </c>
      <c r="V267" s="8" t="s">
        <v>32</v>
      </c>
      <c r="W267" s="8" t="s">
        <v>33</v>
      </c>
      <c r="X267" s="8" t="s">
        <v>33</v>
      </c>
      <c r="Y267" s="8" t="s">
        <v>33</v>
      </c>
      <c r="Z267" s="8" t="s">
        <v>33</v>
      </c>
      <c r="AA267" s="8" t="s">
        <v>33</v>
      </c>
      <c r="AB267" s="8" t="s">
        <v>32</v>
      </c>
      <c r="AC267" s="8" t="s">
        <v>33</v>
      </c>
      <c r="AD267" s="8" t="s">
        <v>32</v>
      </c>
      <c r="AE267" s="8" t="s">
        <v>32</v>
      </c>
      <c r="AF267" s="4">
        <f t="shared" si="8"/>
        <v>2277</v>
      </c>
      <c r="AG267" s="4">
        <f t="shared" si="9"/>
        <v>658.85</v>
      </c>
      <c r="AH267" s="5" t="s">
        <v>184</v>
      </c>
      <c r="AI267" s="11" t="s">
        <v>551</v>
      </c>
      <c r="AJ267" s="11" t="s">
        <v>541</v>
      </c>
      <c r="AK267" s="11" t="s">
        <v>237</v>
      </c>
    </row>
    <row r="268" spans="1:37" x14ac:dyDescent="0.3">
      <c r="A268" s="8" t="s">
        <v>150</v>
      </c>
      <c r="B268" s="8" t="s">
        <v>151</v>
      </c>
      <c r="C268" s="7">
        <v>45317</v>
      </c>
      <c r="D268" s="8" t="s">
        <v>480</v>
      </c>
      <c r="E268" s="8" t="s">
        <v>549</v>
      </c>
      <c r="F268" s="8" t="s">
        <v>549</v>
      </c>
      <c r="G268" s="8" t="s">
        <v>550</v>
      </c>
      <c r="H268" s="9">
        <v>1374</v>
      </c>
      <c r="I268" s="9">
        <v>397.57</v>
      </c>
      <c r="L268" s="8" t="s">
        <v>119</v>
      </c>
      <c r="M268" s="8" t="s">
        <v>34</v>
      </c>
      <c r="N268" s="8" t="s">
        <v>35</v>
      </c>
      <c r="O268" s="8" t="s">
        <v>14</v>
      </c>
      <c r="P268" s="8" t="s">
        <v>36</v>
      </c>
      <c r="Q268" s="8" t="s">
        <v>549</v>
      </c>
      <c r="R268" s="8" t="s">
        <v>33</v>
      </c>
      <c r="S268" s="8" t="s">
        <v>530</v>
      </c>
      <c r="T268" s="8" t="s">
        <v>37</v>
      </c>
      <c r="U268" s="8" t="s">
        <v>32</v>
      </c>
      <c r="V268" s="8" t="s">
        <v>32</v>
      </c>
      <c r="W268" s="8" t="s">
        <v>33</v>
      </c>
      <c r="X268" s="8" t="s">
        <v>33</v>
      </c>
      <c r="Y268" s="8" t="s">
        <v>33</v>
      </c>
      <c r="Z268" s="8" t="s">
        <v>33</v>
      </c>
      <c r="AA268" s="8" t="s">
        <v>33</v>
      </c>
      <c r="AB268" s="8" t="s">
        <v>32</v>
      </c>
      <c r="AC268" s="8" t="s">
        <v>33</v>
      </c>
      <c r="AD268" s="8" t="s">
        <v>32</v>
      </c>
      <c r="AE268" s="8" t="s">
        <v>32</v>
      </c>
      <c r="AF268" s="4">
        <f t="shared" si="8"/>
        <v>1374</v>
      </c>
      <c r="AG268" s="4">
        <f t="shared" si="9"/>
        <v>397.57</v>
      </c>
      <c r="AH268" s="5" t="s">
        <v>184</v>
      </c>
      <c r="AI268" s="11" t="s">
        <v>551</v>
      </c>
      <c r="AJ268" s="11" t="s">
        <v>541</v>
      </c>
      <c r="AK268" s="11" t="s">
        <v>237</v>
      </c>
    </row>
    <row r="269" spans="1:37" x14ac:dyDescent="0.3">
      <c r="A269" s="8" t="s">
        <v>101</v>
      </c>
      <c r="B269" s="8" t="s">
        <v>102</v>
      </c>
      <c r="C269" s="7">
        <v>45317</v>
      </c>
      <c r="D269" s="8" t="s">
        <v>481</v>
      </c>
      <c r="E269" s="8" t="s">
        <v>549</v>
      </c>
      <c r="F269" s="8" t="s">
        <v>549</v>
      </c>
      <c r="G269" s="8" t="s">
        <v>550</v>
      </c>
      <c r="H269" s="9">
        <v>3559</v>
      </c>
      <c r="I269" s="9">
        <v>1029.8</v>
      </c>
      <c r="L269" s="8" t="s">
        <v>89</v>
      </c>
      <c r="M269" s="8" t="s">
        <v>28</v>
      </c>
      <c r="N269" s="8" t="s">
        <v>35</v>
      </c>
      <c r="O269" s="8" t="s">
        <v>14</v>
      </c>
      <c r="P269" s="8" t="s">
        <v>36</v>
      </c>
      <c r="Q269" s="8" t="s">
        <v>549</v>
      </c>
      <c r="R269" s="8" t="s">
        <v>33</v>
      </c>
      <c r="S269" s="8" t="s">
        <v>530</v>
      </c>
      <c r="T269" s="8" t="s">
        <v>37</v>
      </c>
      <c r="U269" s="8" t="s">
        <v>32</v>
      </c>
      <c r="V269" s="8" t="s">
        <v>32</v>
      </c>
      <c r="W269" s="8" t="s">
        <v>33</v>
      </c>
      <c r="X269" s="8" t="s">
        <v>33</v>
      </c>
      <c r="Y269" s="8" t="s">
        <v>33</v>
      </c>
      <c r="Z269" s="8" t="s">
        <v>33</v>
      </c>
      <c r="AA269" s="8" t="s">
        <v>33</v>
      </c>
      <c r="AB269" s="8" t="s">
        <v>32</v>
      </c>
      <c r="AC269" s="8" t="s">
        <v>33</v>
      </c>
      <c r="AD269" s="8" t="s">
        <v>32</v>
      </c>
      <c r="AE269" s="8" t="s">
        <v>32</v>
      </c>
      <c r="AF269" s="4">
        <f t="shared" si="8"/>
        <v>3559</v>
      </c>
      <c r="AG269" s="4">
        <f t="shared" si="9"/>
        <v>1029.8</v>
      </c>
      <c r="AH269" s="5" t="s">
        <v>185</v>
      </c>
      <c r="AI269" s="11" t="s">
        <v>223</v>
      </c>
      <c r="AJ269" s="11" t="s">
        <v>208</v>
      </c>
      <c r="AK269" s="11" t="s">
        <v>235</v>
      </c>
    </row>
    <row r="270" spans="1:37" x14ac:dyDescent="0.3">
      <c r="A270" s="8" t="s">
        <v>96</v>
      </c>
      <c r="B270" s="8" t="s">
        <v>97</v>
      </c>
      <c r="C270" s="7">
        <v>45317</v>
      </c>
      <c r="D270" s="8" t="s">
        <v>482</v>
      </c>
      <c r="E270" s="8" t="s">
        <v>549</v>
      </c>
      <c r="F270" s="8" t="s">
        <v>549</v>
      </c>
      <c r="G270" s="8" t="s">
        <v>550</v>
      </c>
      <c r="H270" s="9">
        <v>1599</v>
      </c>
      <c r="I270" s="9">
        <v>462.67</v>
      </c>
      <c r="L270" s="8" t="s">
        <v>77</v>
      </c>
      <c r="M270" s="8" t="s">
        <v>28</v>
      </c>
      <c r="N270" s="8" t="s">
        <v>35</v>
      </c>
      <c r="O270" s="8" t="s">
        <v>14</v>
      </c>
      <c r="P270" s="8" t="s">
        <v>36</v>
      </c>
      <c r="Q270" s="8" t="s">
        <v>549</v>
      </c>
      <c r="R270" s="8" t="s">
        <v>33</v>
      </c>
      <c r="S270" s="8" t="s">
        <v>530</v>
      </c>
      <c r="T270" s="8" t="s">
        <v>37</v>
      </c>
      <c r="U270" s="8" t="s">
        <v>32</v>
      </c>
      <c r="V270" s="8" t="s">
        <v>32</v>
      </c>
      <c r="W270" s="8" t="s">
        <v>33</v>
      </c>
      <c r="X270" s="8" t="s">
        <v>33</v>
      </c>
      <c r="Y270" s="8" t="s">
        <v>33</v>
      </c>
      <c r="Z270" s="8" t="s">
        <v>33</v>
      </c>
      <c r="AA270" s="8" t="s">
        <v>33</v>
      </c>
      <c r="AB270" s="8" t="s">
        <v>32</v>
      </c>
      <c r="AC270" s="8" t="s">
        <v>33</v>
      </c>
      <c r="AD270" s="8" t="s">
        <v>32</v>
      </c>
      <c r="AE270" s="8" t="s">
        <v>32</v>
      </c>
      <c r="AF270" s="4">
        <f t="shared" si="8"/>
        <v>1599</v>
      </c>
      <c r="AG270" s="4">
        <f t="shared" si="9"/>
        <v>462.67</v>
      </c>
      <c r="AH270" s="5" t="s">
        <v>185</v>
      </c>
      <c r="AI270" s="11" t="s">
        <v>221</v>
      </c>
      <c r="AJ270" s="11" t="s">
        <v>211</v>
      </c>
      <c r="AK270" s="11" t="s">
        <v>235</v>
      </c>
    </row>
    <row r="271" spans="1:37" x14ac:dyDescent="0.3">
      <c r="A271" s="8" t="s">
        <v>96</v>
      </c>
      <c r="B271" s="8" t="s">
        <v>97</v>
      </c>
      <c r="C271" s="7">
        <v>45317</v>
      </c>
      <c r="D271" s="8" t="s">
        <v>483</v>
      </c>
      <c r="E271" s="8" t="s">
        <v>549</v>
      </c>
      <c r="F271" s="8" t="s">
        <v>549</v>
      </c>
      <c r="G271" s="8" t="s">
        <v>550</v>
      </c>
      <c r="H271" s="9">
        <v>8774</v>
      </c>
      <c r="I271" s="9">
        <v>2538.77</v>
      </c>
      <c r="L271" s="8" t="s">
        <v>119</v>
      </c>
      <c r="M271" s="8" t="s">
        <v>28</v>
      </c>
      <c r="N271" s="8" t="s">
        <v>35</v>
      </c>
      <c r="O271" s="8" t="s">
        <v>14</v>
      </c>
      <c r="P271" s="8" t="s">
        <v>36</v>
      </c>
      <c r="Q271" s="8" t="s">
        <v>549</v>
      </c>
      <c r="R271" s="8" t="s">
        <v>33</v>
      </c>
      <c r="S271" s="8" t="s">
        <v>530</v>
      </c>
      <c r="T271" s="8" t="s">
        <v>37</v>
      </c>
      <c r="U271" s="8" t="s">
        <v>32</v>
      </c>
      <c r="V271" s="8" t="s">
        <v>32</v>
      </c>
      <c r="W271" s="8" t="s">
        <v>33</v>
      </c>
      <c r="X271" s="8" t="s">
        <v>33</v>
      </c>
      <c r="Y271" s="8" t="s">
        <v>33</v>
      </c>
      <c r="Z271" s="8" t="s">
        <v>33</v>
      </c>
      <c r="AA271" s="8" t="s">
        <v>33</v>
      </c>
      <c r="AB271" s="8" t="s">
        <v>32</v>
      </c>
      <c r="AC271" s="8" t="s">
        <v>33</v>
      </c>
      <c r="AD271" s="8" t="s">
        <v>32</v>
      </c>
      <c r="AE271" s="8" t="s">
        <v>32</v>
      </c>
      <c r="AF271" s="4">
        <f t="shared" si="8"/>
        <v>8774</v>
      </c>
      <c r="AG271" s="4">
        <f t="shared" si="9"/>
        <v>2538.77</v>
      </c>
      <c r="AH271" s="5" t="s">
        <v>184</v>
      </c>
      <c r="AI271" s="11" t="s">
        <v>221</v>
      </c>
      <c r="AJ271" s="11" t="s">
        <v>541</v>
      </c>
      <c r="AK271" s="11" t="s">
        <v>237</v>
      </c>
    </row>
    <row r="272" spans="1:37" x14ac:dyDescent="0.3">
      <c r="A272" s="8" t="s">
        <v>96</v>
      </c>
      <c r="B272" s="8" t="s">
        <v>97</v>
      </c>
      <c r="C272" s="7">
        <v>45317</v>
      </c>
      <c r="D272" s="8" t="s">
        <v>484</v>
      </c>
      <c r="E272" s="8" t="s">
        <v>549</v>
      </c>
      <c r="F272" s="8" t="s">
        <v>549</v>
      </c>
      <c r="G272" s="8" t="s">
        <v>550</v>
      </c>
      <c r="H272" s="9">
        <v>8682</v>
      </c>
      <c r="I272" s="9">
        <v>2512.15</v>
      </c>
      <c r="L272" s="8" t="s">
        <v>119</v>
      </c>
      <c r="M272" s="8" t="s">
        <v>28</v>
      </c>
      <c r="N272" s="8" t="s">
        <v>35</v>
      </c>
      <c r="O272" s="8" t="s">
        <v>14</v>
      </c>
      <c r="P272" s="8" t="s">
        <v>36</v>
      </c>
      <c r="Q272" s="8" t="s">
        <v>549</v>
      </c>
      <c r="R272" s="8" t="s">
        <v>33</v>
      </c>
      <c r="S272" s="8" t="s">
        <v>530</v>
      </c>
      <c r="T272" s="8" t="s">
        <v>37</v>
      </c>
      <c r="U272" s="8" t="s">
        <v>32</v>
      </c>
      <c r="V272" s="8" t="s">
        <v>32</v>
      </c>
      <c r="W272" s="8" t="s">
        <v>33</v>
      </c>
      <c r="X272" s="8" t="s">
        <v>33</v>
      </c>
      <c r="Y272" s="8" t="s">
        <v>33</v>
      </c>
      <c r="Z272" s="8" t="s">
        <v>33</v>
      </c>
      <c r="AA272" s="8" t="s">
        <v>33</v>
      </c>
      <c r="AB272" s="8" t="s">
        <v>32</v>
      </c>
      <c r="AC272" s="8" t="s">
        <v>33</v>
      </c>
      <c r="AD272" s="8" t="s">
        <v>32</v>
      </c>
      <c r="AE272" s="8" t="s">
        <v>32</v>
      </c>
      <c r="AF272" s="4">
        <f t="shared" si="8"/>
        <v>8682</v>
      </c>
      <c r="AG272" s="4">
        <f t="shared" si="9"/>
        <v>2512.15</v>
      </c>
      <c r="AH272" s="5" t="s">
        <v>184</v>
      </c>
      <c r="AI272" s="11" t="s">
        <v>221</v>
      </c>
      <c r="AJ272" s="11" t="s">
        <v>541</v>
      </c>
      <c r="AK272" s="11" t="s">
        <v>237</v>
      </c>
    </row>
    <row r="273" spans="1:37" x14ac:dyDescent="0.3">
      <c r="A273" s="8" t="s">
        <v>96</v>
      </c>
      <c r="B273" s="8" t="s">
        <v>97</v>
      </c>
      <c r="C273" s="7">
        <v>45317</v>
      </c>
      <c r="D273" s="8" t="s">
        <v>485</v>
      </c>
      <c r="E273" s="8" t="s">
        <v>549</v>
      </c>
      <c r="F273" s="8" t="s">
        <v>549</v>
      </c>
      <c r="G273" s="8" t="s">
        <v>550</v>
      </c>
      <c r="H273" s="9">
        <v>4277</v>
      </c>
      <c r="I273" s="9">
        <v>1237.56</v>
      </c>
      <c r="L273" s="8" t="s">
        <v>119</v>
      </c>
      <c r="M273" s="8" t="s">
        <v>28</v>
      </c>
      <c r="N273" s="8" t="s">
        <v>35</v>
      </c>
      <c r="O273" s="8" t="s">
        <v>14</v>
      </c>
      <c r="P273" s="8" t="s">
        <v>36</v>
      </c>
      <c r="Q273" s="8" t="s">
        <v>549</v>
      </c>
      <c r="R273" s="8" t="s">
        <v>33</v>
      </c>
      <c r="S273" s="8" t="s">
        <v>530</v>
      </c>
      <c r="T273" s="8" t="s">
        <v>37</v>
      </c>
      <c r="U273" s="8" t="s">
        <v>32</v>
      </c>
      <c r="V273" s="8" t="s">
        <v>32</v>
      </c>
      <c r="W273" s="8" t="s">
        <v>33</v>
      </c>
      <c r="X273" s="8" t="s">
        <v>33</v>
      </c>
      <c r="Y273" s="8" t="s">
        <v>33</v>
      </c>
      <c r="Z273" s="8" t="s">
        <v>33</v>
      </c>
      <c r="AA273" s="8" t="s">
        <v>33</v>
      </c>
      <c r="AB273" s="8" t="s">
        <v>32</v>
      </c>
      <c r="AC273" s="8" t="s">
        <v>33</v>
      </c>
      <c r="AD273" s="8" t="s">
        <v>32</v>
      </c>
      <c r="AE273" s="8" t="s">
        <v>32</v>
      </c>
      <c r="AF273" s="4">
        <f t="shared" si="8"/>
        <v>4277</v>
      </c>
      <c r="AG273" s="4">
        <f t="shared" si="9"/>
        <v>1237.56</v>
      </c>
      <c r="AH273" s="5" t="s">
        <v>184</v>
      </c>
      <c r="AI273" s="11" t="s">
        <v>221</v>
      </c>
      <c r="AJ273" s="11" t="s">
        <v>541</v>
      </c>
      <c r="AK273" s="11" t="s">
        <v>237</v>
      </c>
    </row>
    <row r="274" spans="1:37" x14ac:dyDescent="0.3">
      <c r="A274" s="8" t="s">
        <v>96</v>
      </c>
      <c r="B274" s="8" t="s">
        <v>97</v>
      </c>
      <c r="C274" s="7">
        <v>45317</v>
      </c>
      <c r="D274" s="8" t="s">
        <v>486</v>
      </c>
      <c r="E274" s="8" t="s">
        <v>549</v>
      </c>
      <c r="F274" s="8" t="s">
        <v>549</v>
      </c>
      <c r="G274" s="8" t="s">
        <v>550</v>
      </c>
      <c r="H274" s="9">
        <v>975</v>
      </c>
      <c r="I274" s="9">
        <v>282.12</v>
      </c>
      <c r="L274" s="8" t="s">
        <v>119</v>
      </c>
      <c r="M274" s="8" t="s">
        <v>28</v>
      </c>
      <c r="N274" s="8" t="s">
        <v>35</v>
      </c>
      <c r="O274" s="8" t="s">
        <v>14</v>
      </c>
      <c r="P274" s="8" t="s">
        <v>36</v>
      </c>
      <c r="Q274" s="8" t="s">
        <v>549</v>
      </c>
      <c r="R274" s="8" t="s">
        <v>33</v>
      </c>
      <c r="S274" s="8" t="s">
        <v>530</v>
      </c>
      <c r="T274" s="8" t="s">
        <v>37</v>
      </c>
      <c r="U274" s="8" t="s">
        <v>32</v>
      </c>
      <c r="V274" s="8" t="s">
        <v>32</v>
      </c>
      <c r="W274" s="8" t="s">
        <v>33</v>
      </c>
      <c r="X274" s="8" t="s">
        <v>33</v>
      </c>
      <c r="Y274" s="8" t="s">
        <v>33</v>
      </c>
      <c r="Z274" s="8" t="s">
        <v>33</v>
      </c>
      <c r="AA274" s="8" t="s">
        <v>33</v>
      </c>
      <c r="AB274" s="8" t="s">
        <v>32</v>
      </c>
      <c r="AC274" s="8" t="s">
        <v>33</v>
      </c>
      <c r="AD274" s="8" t="s">
        <v>32</v>
      </c>
      <c r="AE274" s="8" t="s">
        <v>32</v>
      </c>
      <c r="AF274" s="4">
        <f t="shared" si="8"/>
        <v>975</v>
      </c>
      <c r="AG274" s="4">
        <f t="shared" si="9"/>
        <v>282.12</v>
      </c>
      <c r="AH274" s="5" t="s">
        <v>184</v>
      </c>
      <c r="AI274" s="11" t="s">
        <v>221</v>
      </c>
      <c r="AJ274" s="11" t="s">
        <v>541</v>
      </c>
      <c r="AK274" s="11" t="s">
        <v>237</v>
      </c>
    </row>
    <row r="275" spans="1:37" x14ac:dyDescent="0.3">
      <c r="A275" s="8" t="s">
        <v>96</v>
      </c>
      <c r="B275" s="8" t="s">
        <v>97</v>
      </c>
      <c r="C275" s="7">
        <v>45317</v>
      </c>
      <c r="D275" s="8" t="s">
        <v>487</v>
      </c>
      <c r="E275" s="8" t="s">
        <v>549</v>
      </c>
      <c r="F275" s="8" t="s">
        <v>549</v>
      </c>
      <c r="G275" s="8" t="s">
        <v>550</v>
      </c>
      <c r="H275" s="9">
        <v>491</v>
      </c>
      <c r="I275" s="9">
        <v>142.07</v>
      </c>
      <c r="L275" s="8" t="s">
        <v>79</v>
      </c>
      <c r="M275" s="8" t="s">
        <v>28</v>
      </c>
      <c r="N275" s="8" t="s">
        <v>35</v>
      </c>
      <c r="O275" s="8" t="s">
        <v>14</v>
      </c>
      <c r="P275" s="8" t="s">
        <v>36</v>
      </c>
      <c r="Q275" s="8" t="s">
        <v>549</v>
      </c>
      <c r="R275" s="8" t="s">
        <v>33</v>
      </c>
      <c r="S275" s="8" t="s">
        <v>530</v>
      </c>
      <c r="T275" s="8" t="s">
        <v>37</v>
      </c>
      <c r="U275" s="8" t="s">
        <v>32</v>
      </c>
      <c r="V275" s="8" t="s">
        <v>32</v>
      </c>
      <c r="W275" s="8" t="s">
        <v>33</v>
      </c>
      <c r="X275" s="8" t="s">
        <v>33</v>
      </c>
      <c r="Y275" s="8" t="s">
        <v>33</v>
      </c>
      <c r="Z275" s="8" t="s">
        <v>33</v>
      </c>
      <c r="AA275" s="8" t="s">
        <v>33</v>
      </c>
      <c r="AB275" s="8" t="s">
        <v>32</v>
      </c>
      <c r="AC275" s="8" t="s">
        <v>33</v>
      </c>
      <c r="AD275" s="8" t="s">
        <v>32</v>
      </c>
      <c r="AE275" s="8" t="s">
        <v>32</v>
      </c>
      <c r="AF275" s="4">
        <f t="shared" si="8"/>
        <v>491</v>
      </c>
      <c r="AG275" s="4">
        <f t="shared" si="9"/>
        <v>142.07</v>
      </c>
      <c r="AH275" s="5" t="s">
        <v>185</v>
      </c>
      <c r="AI275" s="11" t="s">
        <v>221</v>
      </c>
      <c r="AJ275" s="11" t="s">
        <v>542</v>
      </c>
      <c r="AK275" s="11" t="s">
        <v>238</v>
      </c>
    </row>
    <row r="276" spans="1:37" x14ac:dyDescent="0.3">
      <c r="A276" s="8" t="s">
        <v>83</v>
      </c>
      <c r="B276" s="8" t="s">
        <v>84</v>
      </c>
      <c r="C276" s="7">
        <v>45320</v>
      </c>
      <c r="D276" s="8" t="s">
        <v>488</v>
      </c>
      <c r="E276" s="8" t="s">
        <v>549</v>
      </c>
      <c r="F276" s="8" t="s">
        <v>549</v>
      </c>
      <c r="G276" s="8" t="s">
        <v>550</v>
      </c>
      <c r="H276" s="9">
        <v>6805</v>
      </c>
      <c r="I276" s="9">
        <v>1969.04</v>
      </c>
      <c r="L276" s="8" t="s">
        <v>76</v>
      </c>
      <c r="M276" s="8" t="s">
        <v>34</v>
      </c>
      <c r="N276" s="8" t="s">
        <v>41</v>
      </c>
      <c r="O276" s="8" t="s">
        <v>14</v>
      </c>
      <c r="P276" s="8" t="s">
        <v>42</v>
      </c>
      <c r="Q276" s="8" t="s">
        <v>549</v>
      </c>
      <c r="R276" s="8" t="s">
        <v>33</v>
      </c>
      <c r="S276" s="8" t="s">
        <v>530</v>
      </c>
      <c r="T276" s="8" t="s">
        <v>80</v>
      </c>
      <c r="U276" s="8" t="s">
        <v>32</v>
      </c>
      <c r="V276" s="8" t="s">
        <v>32</v>
      </c>
      <c r="W276" s="8" t="s">
        <v>33</v>
      </c>
      <c r="X276" s="8" t="s">
        <v>33</v>
      </c>
      <c r="Y276" s="8" t="s">
        <v>33</v>
      </c>
      <c r="Z276" s="8" t="s">
        <v>33</v>
      </c>
      <c r="AA276" s="8" t="s">
        <v>33</v>
      </c>
      <c r="AB276" s="8" t="s">
        <v>32</v>
      </c>
      <c r="AC276" s="8" t="s">
        <v>33</v>
      </c>
      <c r="AD276" s="8" t="s">
        <v>32</v>
      </c>
      <c r="AE276" s="8" t="s">
        <v>32</v>
      </c>
      <c r="AF276" s="4">
        <f t="shared" si="8"/>
        <v>6805</v>
      </c>
      <c r="AG276" s="4">
        <f t="shared" si="9"/>
        <v>1969.04</v>
      </c>
      <c r="AH276" s="5" t="s">
        <v>185</v>
      </c>
      <c r="AI276" s="11" t="s">
        <v>213</v>
      </c>
      <c r="AJ276" s="11" t="s">
        <v>205</v>
      </c>
      <c r="AK276" s="11" t="s">
        <v>235</v>
      </c>
    </row>
    <row r="277" spans="1:37" x14ac:dyDescent="0.3">
      <c r="A277" s="8" t="s">
        <v>83</v>
      </c>
      <c r="B277" s="8" t="s">
        <v>84</v>
      </c>
      <c r="C277" s="7">
        <v>45320</v>
      </c>
      <c r="D277" s="8" t="s">
        <v>489</v>
      </c>
      <c r="E277" s="8" t="s">
        <v>549</v>
      </c>
      <c r="F277" s="8" t="s">
        <v>549</v>
      </c>
      <c r="G277" s="8" t="s">
        <v>550</v>
      </c>
      <c r="H277" s="9">
        <v>8980</v>
      </c>
      <c r="I277" s="9">
        <v>2598.38</v>
      </c>
      <c r="L277" s="8" t="s">
        <v>76</v>
      </c>
      <c r="M277" s="8" t="s">
        <v>34</v>
      </c>
      <c r="N277" s="8" t="s">
        <v>41</v>
      </c>
      <c r="O277" s="8" t="s">
        <v>14</v>
      </c>
      <c r="P277" s="8" t="s">
        <v>42</v>
      </c>
      <c r="Q277" s="8" t="s">
        <v>549</v>
      </c>
      <c r="R277" s="8" t="s">
        <v>33</v>
      </c>
      <c r="S277" s="8" t="s">
        <v>530</v>
      </c>
      <c r="T277" s="8" t="s">
        <v>80</v>
      </c>
      <c r="U277" s="8" t="s">
        <v>32</v>
      </c>
      <c r="V277" s="8" t="s">
        <v>32</v>
      </c>
      <c r="W277" s="8" t="s">
        <v>33</v>
      </c>
      <c r="X277" s="8" t="s">
        <v>33</v>
      </c>
      <c r="Y277" s="8" t="s">
        <v>33</v>
      </c>
      <c r="Z277" s="8" t="s">
        <v>33</v>
      </c>
      <c r="AA277" s="8" t="s">
        <v>33</v>
      </c>
      <c r="AB277" s="8" t="s">
        <v>32</v>
      </c>
      <c r="AC277" s="8" t="s">
        <v>33</v>
      </c>
      <c r="AD277" s="8" t="s">
        <v>32</v>
      </c>
      <c r="AE277" s="8" t="s">
        <v>32</v>
      </c>
      <c r="AF277" s="4">
        <f t="shared" si="8"/>
        <v>8980</v>
      </c>
      <c r="AG277" s="4">
        <f t="shared" si="9"/>
        <v>2598.38</v>
      </c>
      <c r="AH277" s="5" t="s">
        <v>185</v>
      </c>
      <c r="AI277" s="11" t="s">
        <v>213</v>
      </c>
      <c r="AJ277" s="11" t="s">
        <v>205</v>
      </c>
      <c r="AK277" s="11" t="s">
        <v>235</v>
      </c>
    </row>
    <row r="278" spans="1:37" x14ac:dyDescent="0.3">
      <c r="A278" s="8" t="s">
        <v>83</v>
      </c>
      <c r="B278" s="8" t="s">
        <v>84</v>
      </c>
      <c r="C278" s="7">
        <v>45320</v>
      </c>
      <c r="D278" s="8" t="s">
        <v>490</v>
      </c>
      <c r="E278" s="8" t="s">
        <v>549</v>
      </c>
      <c r="F278" s="8" t="s">
        <v>549</v>
      </c>
      <c r="G278" s="8" t="s">
        <v>550</v>
      </c>
      <c r="H278" s="9">
        <v>5599</v>
      </c>
      <c r="I278" s="9">
        <v>1620.08</v>
      </c>
      <c r="L278" s="8" t="s">
        <v>105</v>
      </c>
      <c r="M278" s="8" t="s">
        <v>34</v>
      </c>
      <c r="N278" s="8" t="s">
        <v>41</v>
      </c>
      <c r="O278" s="8" t="s">
        <v>14</v>
      </c>
      <c r="P278" s="8" t="s">
        <v>42</v>
      </c>
      <c r="Q278" s="8" t="s">
        <v>549</v>
      </c>
      <c r="R278" s="8" t="s">
        <v>33</v>
      </c>
      <c r="S278" s="8" t="s">
        <v>530</v>
      </c>
      <c r="T278" s="8" t="s">
        <v>80</v>
      </c>
      <c r="U278" s="8" t="s">
        <v>32</v>
      </c>
      <c r="V278" s="8" t="s">
        <v>32</v>
      </c>
      <c r="W278" s="8" t="s">
        <v>33</v>
      </c>
      <c r="X278" s="8" t="s">
        <v>33</v>
      </c>
      <c r="Y278" s="8" t="s">
        <v>33</v>
      </c>
      <c r="Z278" s="8" t="s">
        <v>33</v>
      </c>
      <c r="AA278" s="8" t="s">
        <v>33</v>
      </c>
      <c r="AB278" s="8" t="s">
        <v>32</v>
      </c>
      <c r="AC278" s="8" t="s">
        <v>33</v>
      </c>
      <c r="AD278" s="8" t="s">
        <v>32</v>
      </c>
      <c r="AE278" s="8" t="s">
        <v>32</v>
      </c>
      <c r="AF278" s="4">
        <f t="shared" si="8"/>
        <v>5599</v>
      </c>
      <c r="AG278" s="4">
        <f t="shared" si="9"/>
        <v>1620.08</v>
      </c>
      <c r="AH278" s="5" t="s">
        <v>185</v>
      </c>
      <c r="AI278" s="11" t="s">
        <v>213</v>
      </c>
      <c r="AJ278" s="11" t="s">
        <v>209</v>
      </c>
      <c r="AK278" s="11" t="s">
        <v>235</v>
      </c>
    </row>
    <row r="279" spans="1:37" x14ac:dyDescent="0.3">
      <c r="A279" s="8" t="s">
        <v>83</v>
      </c>
      <c r="B279" s="8" t="s">
        <v>84</v>
      </c>
      <c r="C279" s="7">
        <v>45320</v>
      </c>
      <c r="D279" s="8" t="s">
        <v>491</v>
      </c>
      <c r="E279" s="8" t="s">
        <v>549</v>
      </c>
      <c r="F279" s="8" t="s">
        <v>549</v>
      </c>
      <c r="G279" s="8" t="s">
        <v>550</v>
      </c>
      <c r="H279" s="9">
        <v>232</v>
      </c>
      <c r="I279" s="9">
        <v>67.13</v>
      </c>
      <c r="L279" s="8" t="s">
        <v>76</v>
      </c>
      <c r="M279" s="8" t="s">
        <v>34</v>
      </c>
      <c r="N279" s="8" t="s">
        <v>41</v>
      </c>
      <c r="O279" s="8" t="s">
        <v>14</v>
      </c>
      <c r="P279" s="8" t="s">
        <v>42</v>
      </c>
      <c r="Q279" s="8" t="s">
        <v>549</v>
      </c>
      <c r="R279" s="8" t="s">
        <v>33</v>
      </c>
      <c r="S279" s="8" t="s">
        <v>530</v>
      </c>
      <c r="T279" s="8" t="s">
        <v>80</v>
      </c>
      <c r="U279" s="8" t="s">
        <v>32</v>
      </c>
      <c r="V279" s="8" t="s">
        <v>32</v>
      </c>
      <c r="W279" s="8" t="s">
        <v>33</v>
      </c>
      <c r="X279" s="8" t="s">
        <v>33</v>
      </c>
      <c r="Y279" s="8" t="s">
        <v>33</v>
      </c>
      <c r="Z279" s="8" t="s">
        <v>33</v>
      </c>
      <c r="AA279" s="8" t="s">
        <v>33</v>
      </c>
      <c r="AB279" s="8" t="s">
        <v>32</v>
      </c>
      <c r="AC279" s="8" t="s">
        <v>33</v>
      </c>
      <c r="AD279" s="8" t="s">
        <v>32</v>
      </c>
      <c r="AE279" s="8" t="s">
        <v>32</v>
      </c>
      <c r="AF279" s="4">
        <f t="shared" si="8"/>
        <v>232</v>
      </c>
      <c r="AG279" s="4">
        <f t="shared" si="9"/>
        <v>67.13</v>
      </c>
      <c r="AH279" s="5" t="s">
        <v>185</v>
      </c>
      <c r="AI279" s="11" t="s">
        <v>213</v>
      </c>
      <c r="AJ279" s="11" t="s">
        <v>205</v>
      </c>
      <c r="AK279" s="11" t="s">
        <v>235</v>
      </c>
    </row>
    <row r="280" spans="1:37" x14ac:dyDescent="0.3">
      <c r="A280" s="8" t="s">
        <v>121</v>
      </c>
      <c r="B280" s="8" t="s">
        <v>122</v>
      </c>
      <c r="C280" s="7">
        <v>45320</v>
      </c>
      <c r="D280" s="8" t="s">
        <v>492</v>
      </c>
      <c r="E280" s="8" t="s">
        <v>549</v>
      </c>
      <c r="F280" s="8" t="s">
        <v>549</v>
      </c>
      <c r="G280" s="8" t="s">
        <v>550</v>
      </c>
      <c r="H280" s="9">
        <v>5674</v>
      </c>
      <c r="I280" s="9">
        <v>1641.78</v>
      </c>
      <c r="L280" s="8" t="s">
        <v>76</v>
      </c>
      <c r="M280" s="8" t="s">
        <v>34</v>
      </c>
      <c r="N280" s="8" t="s">
        <v>29</v>
      </c>
      <c r="O280" s="8" t="s">
        <v>14</v>
      </c>
      <c r="P280" s="8" t="s">
        <v>30</v>
      </c>
      <c r="Q280" s="8" t="s">
        <v>549</v>
      </c>
      <c r="R280" s="8" t="s">
        <v>33</v>
      </c>
      <c r="S280" s="8" t="s">
        <v>530</v>
      </c>
      <c r="T280" s="8" t="s">
        <v>31</v>
      </c>
      <c r="U280" s="8" t="s">
        <v>32</v>
      </c>
      <c r="V280" s="8" t="s">
        <v>32</v>
      </c>
      <c r="W280" s="8" t="s">
        <v>33</v>
      </c>
      <c r="X280" s="8" t="s">
        <v>33</v>
      </c>
      <c r="Y280" s="8" t="s">
        <v>33</v>
      </c>
      <c r="Z280" s="8" t="s">
        <v>33</v>
      </c>
      <c r="AA280" s="8" t="s">
        <v>33</v>
      </c>
      <c r="AB280" s="8" t="s">
        <v>32</v>
      </c>
      <c r="AC280" s="8" t="s">
        <v>33</v>
      </c>
      <c r="AD280" s="8" t="s">
        <v>32</v>
      </c>
      <c r="AE280" s="8" t="s">
        <v>32</v>
      </c>
      <c r="AF280" s="4">
        <f t="shared" si="8"/>
        <v>5674</v>
      </c>
      <c r="AG280" s="4">
        <f t="shared" si="9"/>
        <v>1641.78</v>
      </c>
      <c r="AH280" s="5" t="s">
        <v>185</v>
      </c>
      <c r="AI280" s="11" t="s">
        <v>228</v>
      </c>
      <c r="AJ280" s="11" t="s">
        <v>205</v>
      </c>
      <c r="AK280" s="11" t="s">
        <v>235</v>
      </c>
    </row>
    <row r="281" spans="1:37" x14ac:dyDescent="0.3">
      <c r="A281" s="8" t="s">
        <v>83</v>
      </c>
      <c r="B281" s="8" t="s">
        <v>84</v>
      </c>
      <c r="C281" s="7">
        <v>45321</v>
      </c>
      <c r="D281" s="8" t="s">
        <v>493</v>
      </c>
      <c r="E281" s="8" t="s">
        <v>549</v>
      </c>
      <c r="F281" s="8" t="s">
        <v>549</v>
      </c>
      <c r="G281" s="8" t="s">
        <v>550</v>
      </c>
      <c r="H281" s="9">
        <v>5706</v>
      </c>
      <c r="I281" s="9">
        <v>1651.04</v>
      </c>
      <c r="L281" s="8" t="s">
        <v>76</v>
      </c>
      <c r="M281" s="8" t="s">
        <v>34</v>
      </c>
      <c r="N281" s="8" t="s">
        <v>41</v>
      </c>
      <c r="O281" s="8" t="s">
        <v>14</v>
      </c>
      <c r="P281" s="8" t="s">
        <v>42</v>
      </c>
      <c r="Q281" s="8" t="s">
        <v>549</v>
      </c>
      <c r="R281" s="8" t="s">
        <v>33</v>
      </c>
      <c r="S281" s="8" t="s">
        <v>530</v>
      </c>
      <c r="T281" s="8" t="s">
        <v>80</v>
      </c>
      <c r="U281" s="8" t="s">
        <v>32</v>
      </c>
      <c r="V281" s="8" t="s">
        <v>32</v>
      </c>
      <c r="W281" s="8" t="s">
        <v>33</v>
      </c>
      <c r="X281" s="8" t="s">
        <v>33</v>
      </c>
      <c r="Y281" s="8" t="s">
        <v>33</v>
      </c>
      <c r="Z281" s="8" t="s">
        <v>33</v>
      </c>
      <c r="AA281" s="8" t="s">
        <v>33</v>
      </c>
      <c r="AB281" s="8" t="s">
        <v>32</v>
      </c>
      <c r="AC281" s="8" t="s">
        <v>33</v>
      </c>
      <c r="AD281" s="8" t="s">
        <v>32</v>
      </c>
      <c r="AE281" s="8" t="s">
        <v>32</v>
      </c>
      <c r="AF281" s="4">
        <f t="shared" si="8"/>
        <v>5706</v>
      </c>
      <c r="AG281" s="4">
        <f t="shared" si="9"/>
        <v>1651.04</v>
      </c>
      <c r="AH281" s="5" t="s">
        <v>185</v>
      </c>
      <c r="AI281" s="11" t="s">
        <v>213</v>
      </c>
      <c r="AJ281" s="11" t="s">
        <v>205</v>
      </c>
      <c r="AK281" s="11" t="s">
        <v>235</v>
      </c>
    </row>
    <row r="282" spans="1:37" x14ac:dyDescent="0.3">
      <c r="A282" s="8" t="s">
        <v>83</v>
      </c>
      <c r="B282" s="8" t="s">
        <v>84</v>
      </c>
      <c r="C282" s="7">
        <v>45321</v>
      </c>
      <c r="D282" s="8" t="s">
        <v>494</v>
      </c>
      <c r="E282" s="8" t="s">
        <v>549</v>
      </c>
      <c r="F282" s="8" t="s">
        <v>549</v>
      </c>
      <c r="G282" s="8" t="s">
        <v>550</v>
      </c>
      <c r="H282" s="9">
        <v>1497</v>
      </c>
      <c r="I282" s="9">
        <v>433.16</v>
      </c>
      <c r="L282" s="8" t="s">
        <v>76</v>
      </c>
      <c r="M282" s="8" t="s">
        <v>34</v>
      </c>
      <c r="N282" s="8" t="s">
        <v>41</v>
      </c>
      <c r="O282" s="8" t="s">
        <v>14</v>
      </c>
      <c r="P282" s="8" t="s">
        <v>42</v>
      </c>
      <c r="Q282" s="8" t="s">
        <v>549</v>
      </c>
      <c r="R282" s="8" t="s">
        <v>33</v>
      </c>
      <c r="S282" s="8" t="s">
        <v>530</v>
      </c>
      <c r="T282" s="8" t="s">
        <v>80</v>
      </c>
      <c r="U282" s="8" t="s">
        <v>32</v>
      </c>
      <c r="V282" s="8" t="s">
        <v>32</v>
      </c>
      <c r="W282" s="8" t="s">
        <v>33</v>
      </c>
      <c r="X282" s="8" t="s">
        <v>33</v>
      </c>
      <c r="Y282" s="8" t="s">
        <v>33</v>
      </c>
      <c r="Z282" s="8" t="s">
        <v>33</v>
      </c>
      <c r="AA282" s="8" t="s">
        <v>33</v>
      </c>
      <c r="AB282" s="8" t="s">
        <v>32</v>
      </c>
      <c r="AC282" s="8" t="s">
        <v>33</v>
      </c>
      <c r="AD282" s="8" t="s">
        <v>32</v>
      </c>
      <c r="AE282" s="8" t="s">
        <v>32</v>
      </c>
      <c r="AF282" s="4">
        <f t="shared" si="8"/>
        <v>1497</v>
      </c>
      <c r="AG282" s="4">
        <f t="shared" si="9"/>
        <v>433.16</v>
      </c>
      <c r="AH282" s="5" t="s">
        <v>185</v>
      </c>
      <c r="AI282" s="11" t="s">
        <v>213</v>
      </c>
      <c r="AJ282" s="11" t="s">
        <v>205</v>
      </c>
      <c r="AK282" s="11" t="s">
        <v>235</v>
      </c>
    </row>
    <row r="283" spans="1:37" x14ac:dyDescent="0.3">
      <c r="A283" s="8" t="s">
        <v>83</v>
      </c>
      <c r="B283" s="8" t="s">
        <v>84</v>
      </c>
      <c r="C283" s="7">
        <v>45321</v>
      </c>
      <c r="D283" s="8" t="s">
        <v>495</v>
      </c>
      <c r="E283" s="8" t="s">
        <v>549</v>
      </c>
      <c r="F283" s="8" t="s">
        <v>549</v>
      </c>
      <c r="G283" s="8" t="s">
        <v>550</v>
      </c>
      <c r="H283" s="9">
        <v>1260</v>
      </c>
      <c r="I283" s="9">
        <v>364.58</v>
      </c>
      <c r="L283" s="8" t="s">
        <v>105</v>
      </c>
      <c r="M283" s="8" t="s">
        <v>34</v>
      </c>
      <c r="N283" s="8" t="s">
        <v>41</v>
      </c>
      <c r="O283" s="8" t="s">
        <v>14</v>
      </c>
      <c r="P283" s="8" t="s">
        <v>42</v>
      </c>
      <c r="Q283" s="8" t="s">
        <v>549</v>
      </c>
      <c r="R283" s="8" t="s">
        <v>33</v>
      </c>
      <c r="S283" s="8" t="s">
        <v>530</v>
      </c>
      <c r="T283" s="8" t="s">
        <v>80</v>
      </c>
      <c r="U283" s="8" t="s">
        <v>32</v>
      </c>
      <c r="V283" s="8" t="s">
        <v>32</v>
      </c>
      <c r="W283" s="8" t="s">
        <v>33</v>
      </c>
      <c r="X283" s="8" t="s">
        <v>33</v>
      </c>
      <c r="Y283" s="8" t="s">
        <v>33</v>
      </c>
      <c r="Z283" s="8" t="s">
        <v>33</v>
      </c>
      <c r="AA283" s="8" t="s">
        <v>33</v>
      </c>
      <c r="AB283" s="8" t="s">
        <v>32</v>
      </c>
      <c r="AC283" s="8" t="s">
        <v>33</v>
      </c>
      <c r="AD283" s="8" t="s">
        <v>32</v>
      </c>
      <c r="AE283" s="8" t="s">
        <v>32</v>
      </c>
      <c r="AF283" s="4">
        <f t="shared" si="8"/>
        <v>1260</v>
      </c>
      <c r="AG283" s="4">
        <f t="shared" si="9"/>
        <v>364.58</v>
      </c>
      <c r="AH283" s="5" t="s">
        <v>185</v>
      </c>
      <c r="AI283" s="11" t="s">
        <v>213</v>
      </c>
      <c r="AJ283" s="11" t="s">
        <v>209</v>
      </c>
      <c r="AK283" s="11" t="s">
        <v>235</v>
      </c>
    </row>
    <row r="284" spans="1:37" x14ac:dyDescent="0.3">
      <c r="A284" s="8" t="s">
        <v>83</v>
      </c>
      <c r="B284" s="8" t="s">
        <v>84</v>
      </c>
      <c r="C284" s="7">
        <v>45321</v>
      </c>
      <c r="D284" s="8" t="s">
        <v>496</v>
      </c>
      <c r="E284" s="8" t="s">
        <v>549</v>
      </c>
      <c r="F284" s="8" t="s">
        <v>549</v>
      </c>
      <c r="G284" s="8" t="s">
        <v>550</v>
      </c>
      <c r="H284" s="9">
        <v>6928</v>
      </c>
      <c r="I284" s="9">
        <v>2004.63</v>
      </c>
      <c r="L284" s="8" t="s">
        <v>76</v>
      </c>
      <c r="M284" s="8" t="s">
        <v>34</v>
      </c>
      <c r="N284" s="8" t="s">
        <v>41</v>
      </c>
      <c r="O284" s="8" t="s">
        <v>14</v>
      </c>
      <c r="P284" s="8" t="s">
        <v>42</v>
      </c>
      <c r="Q284" s="8" t="s">
        <v>549</v>
      </c>
      <c r="R284" s="8" t="s">
        <v>33</v>
      </c>
      <c r="S284" s="8" t="s">
        <v>530</v>
      </c>
      <c r="T284" s="8" t="s">
        <v>80</v>
      </c>
      <c r="U284" s="8" t="s">
        <v>32</v>
      </c>
      <c r="V284" s="8" t="s">
        <v>32</v>
      </c>
      <c r="W284" s="8" t="s">
        <v>33</v>
      </c>
      <c r="X284" s="8" t="s">
        <v>33</v>
      </c>
      <c r="Y284" s="8" t="s">
        <v>33</v>
      </c>
      <c r="Z284" s="8" t="s">
        <v>33</v>
      </c>
      <c r="AA284" s="8" t="s">
        <v>33</v>
      </c>
      <c r="AB284" s="8" t="s">
        <v>32</v>
      </c>
      <c r="AC284" s="8" t="s">
        <v>33</v>
      </c>
      <c r="AD284" s="8" t="s">
        <v>32</v>
      </c>
      <c r="AE284" s="8" t="s">
        <v>32</v>
      </c>
      <c r="AF284" s="4">
        <f t="shared" si="8"/>
        <v>6928</v>
      </c>
      <c r="AG284" s="4">
        <f t="shared" si="9"/>
        <v>2004.63</v>
      </c>
      <c r="AH284" s="5" t="s">
        <v>185</v>
      </c>
      <c r="AI284" s="11" t="s">
        <v>213</v>
      </c>
      <c r="AJ284" s="11" t="s">
        <v>205</v>
      </c>
      <c r="AK284" s="11" t="s">
        <v>235</v>
      </c>
    </row>
    <row r="285" spans="1:37" x14ac:dyDescent="0.3">
      <c r="A285" s="8" t="s">
        <v>115</v>
      </c>
      <c r="B285" s="8" t="s">
        <v>116</v>
      </c>
      <c r="C285" s="7">
        <v>45321</v>
      </c>
      <c r="D285" s="8" t="s">
        <v>497</v>
      </c>
      <c r="E285" s="8" t="s">
        <v>549</v>
      </c>
      <c r="F285" s="8" t="s">
        <v>549</v>
      </c>
      <c r="G285" s="8" t="s">
        <v>550</v>
      </c>
      <c r="H285">
        <v>6094</v>
      </c>
      <c r="I285" s="9">
        <v>1763.31</v>
      </c>
      <c r="J285" s="9"/>
      <c r="K285" s="9"/>
      <c r="L285" s="8" t="s">
        <v>93</v>
      </c>
      <c r="M285" s="8" t="s">
        <v>34</v>
      </c>
      <c r="N285" s="8" t="s">
        <v>29</v>
      </c>
      <c r="O285" s="8" t="s">
        <v>14</v>
      </c>
      <c r="P285" s="8" t="s">
        <v>30</v>
      </c>
      <c r="Q285" s="8" t="s">
        <v>549</v>
      </c>
      <c r="R285" s="8" t="s">
        <v>33</v>
      </c>
      <c r="S285" s="8" t="s">
        <v>530</v>
      </c>
      <c r="T285" s="8" t="s">
        <v>31</v>
      </c>
      <c r="U285" s="8" t="s">
        <v>32</v>
      </c>
      <c r="V285" s="8" t="s">
        <v>32</v>
      </c>
      <c r="W285" s="8" t="s">
        <v>33</v>
      </c>
      <c r="X285" s="8" t="s">
        <v>33</v>
      </c>
      <c r="Y285" s="8" t="s">
        <v>33</v>
      </c>
      <c r="Z285" s="8" t="s">
        <v>33</v>
      </c>
      <c r="AA285" s="8" t="s">
        <v>33</v>
      </c>
      <c r="AB285" s="8" t="s">
        <v>32</v>
      </c>
      <c r="AC285" s="8" t="s">
        <v>33</v>
      </c>
      <c r="AD285" s="8" t="s">
        <v>32</v>
      </c>
      <c r="AE285" s="8" t="s">
        <v>32</v>
      </c>
      <c r="AF285" s="4">
        <f t="shared" si="8"/>
        <v>6094</v>
      </c>
      <c r="AG285" s="4">
        <f t="shared" si="9"/>
        <v>1763.31</v>
      </c>
      <c r="AH285" s="5" t="s">
        <v>185</v>
      </c>
      <c r="AI285" s="11" t="s">
        <v>214</v>
      </c>
      <c r="AJ285" s="11" t="s">
        <v>206</v>
      </c>
      <c r="AK285" s="11" t="s">
        <v>235</v>
      </c>
    </row>
    <row r="286" spans="1:37" x14ac:dyDescent="0.3">
      <c r="A286" s="8" t="s">
        <v>94</v>
      </c>
      <c r="B286" s="8" t="s">
        <v>95</v>
      </c>
      <c r="C286" s="7">
        <v>45321</v>
      </c>
      <c r="D286" s="8" t="s">
        <v>498</v>
      </c>
      <c r="E286" s="8" t="s">
        <v>549</v>
      </c>
      <c r="F286" s="8" t="s">
        <v>549</v>
      </c>
      <c r="G286" s="8" t="s">
        <v>550</v>
      </c>
      <c r="H286" s="9">
        <v>4935</v>
      </c>
      <c r="I286" s="9">
        <v>1427.95</v>
      </c>
      <c r="L286" s="8" t="s">
        <v>76</v>
      </c>
      <c r="M286" s="8" t="s">
        <v>34</v>
      </c>
      <c r="N286" s="8" t="s">
        <v>29</v>
      </c>
      <c r="O286" s="8" t="s">
        <v>14</v>
      </c>
      <c r="P286" s="8" t="s">
        <v>30</v>
      </c>
      <c r="Q286" s="8" t="s">
        <v>549</v>
      </c>
      <c r="R286" s="8" t="s">
        <v>33</v>
      </c>
      <c r="S286" s="8" t="s">
        <v>530</v>
      </c>
      <c r="T286" s="8" t="s">
        <v>31</v>
      </c>
      <c r="U286" s="8" t="s">
        <v>32</v>
      </c>
      <c r="V286" s="8" t="s">
        <v>32</v>
      </c>
      <c r="W286" s="8" t="s">
        <v>33</v>
      </c>
      <c r="X286" s="8" t="s">
        <v>33</v>
      </c>
      <c r="Y286" s="8" t="s">
        <v>33</v>
      </c>
      <c r="Z286" s="8" t="s">
        <v>33</v>
      </c>
      <c r="AA286" s="8" t="s">
        <v>33</v>
      </c>
      <c r="AB286" s="8" t="s">
        <v>32</v>
      </c>
      <c r="AC286" s="8" t="s">
        <v>33</v>
      </c>
      <c r="AD286" s="8" t="s">
        <v>32</v>
      </c>
      <c r="AE286" s="8" t="s">
        <v>32</v>
      </c>
      <c r="AF286" s="4">
        <f t="shared" si="8"/>
        <v>4935</v>
      </c>
      <c r="AG286" s="4">
        <f t="shared" si="9"/>
        <v>1427.95</v>
      </c>
      <c r="AH286" s="5" t="s">
        <v>185</v>
      </c>
      <c r="AI286" s="11" t="s">
        <v>222</v>
      </c>
      <c r="AJ286" s="11" t="s">
        <v>205</v>
      </c>
      <c r="AK286" s="11" t="s">
        <v>235</v>
      </c>
    </row>
    <row r="287" spans="1:37" x14ac:dyDescent="0.3">
      <c r="A287" s="8" t="s">
        <v>90</v>
      </c>
      <c r="B287" s="8" t="s">
        <v>91</v>
      </c>
      <c r="C287" s="7">
        <v>45321</v>
      </c>
      <c r="D287" s="8" t="s">
        <v>499</v>
      </c>
      <c r="E287" s="8" t="s">
        <v>549</v>
      </c>
      <c r="F287" s="8" t="s">
        <v>549</v>
      </c>
      <c r="G287" s="8" t="s">
        <v>550</v>
      </c>
      <c r="H287" s="9">
        <v>2147</v>
      </c>
      <c r="I287" s="9">
        <v>621.24</v>
      </c>
      <c r="L287" s="8" t="s">
        <v>93</v>
      </c>
      <c r="M287" s="8" t="s">
        <v>34</v>
      </c>
      <c r="N287" s="8" t="s">
        <v>29</v>
      </c>
      <c r="O287" s="8" t="s">
        <v>14</v>
      </c>
      <c r="P287" s="8" t="s">
        <v>30</v>
      </c>
      <c r="Q287" s="8" t="s">
        <v>549</v>
      </c>
      <c r="R287" s="8" t="s">
        <v>33</v>
      </c>
      <c r="S287" s="8" t="s">
        <v>530</v>
      </c>
      <c r="T287" s="8" t="s">
        <v>31</v>
      </c>
      <c r="U287" s="8" t="s">
        <v>32</v>
      </c>
      <c r="V287" s="8" t="s">
        <v>32</v>
      </c>
      <c r="W287" s="8" t="s">
        <v>33</v>
      </c>
      <c r="X287" s="8" t="s">
        <v>33</v>
      </c>
      <c r="Y287" s="8" t="s">
        <v>33</v>
      </c>
      <c r="Z287" s="8" t="s">
        <v>33</v>
      </c>
      <c r="AA287" s="8" t="s">
        <v>33</v>
      </c>
      <c r="AB287" s="8" t="s">
        <v>32</v>
      </c>
      <c r="AC287" s="8" t="s">
        <v>33</v>
      </c>
      <c r="AD287" s="8" t="s">
        <v>32</v>
      </c>
      <c r="AE287" s="8" t="s">
        <v>32</v>
      </c>
      <c r="AF287" s="4">
        <f t="shared" si="8"/>
        <v>2147</v>
      </c>
      <c r="AG287" s="4">
        <f t="shared" si="9"/>
        <v>621.24</v>
      </c>
      <c r="AH287" s="5" t="s">
        <v>185</v>
      </c>
      <c r="AI287" s="11" t="s">
        <v>218</v>
      </c>
      <c r="AJ287" s="11" t="s">
        <v>206</v>
      </c>
      <c r="AK287" s="11" t="s">
        <v>235</v>
      </c>
    </row>
    <row r="288" spans="1:37" x14ac:dyDescent="0.3">
      <c r="A288" s="8" t="s">
        <v>150</v>
      </c>
      <c r="B288" s="8" t="s">
        <v>151</v>
      </c>
      <c r="C288" s="7">
        <v>45321</v>
      </c>
      <c r="D288" s="8" t="s">
        <v>500</v>
      </c>
      <c r="E288" s="8" t="s">
        <v>549</v>
      </c>
      <c r="F288" s="8" t="s">
        <v>549</v>
      </c>
      <c r="G288" s="8" t="s">
        <v>550</v>
      </c>
      <c r="H288" s="9">
        <v>5193</v>
      </c>
      <c r="I288" s="9">
        <v>1502.6</v>
      </c>
      <c r="L288" s="8" t="s">
        <v>119</v>
      </c>
      <c r="M288" s="8" t="s">
        <v>34</v>
      </c>
      <c r="N288" s="8" t="s">
        <v>35</v>
      </c>
      <c r="O288" s="8" t="s">
        <v>14</v>
      </c>
      <c r="P288" s="8" t="s">
        <v>36</v>
      </c>
      <c r="Q288" s="8" t="s">
        <v>549</v>
      </c>
      <c r="R288" s="8" t="s">
        <v>33</v>
      </c>
      <c r="S288" s="8" t="s">
        <v>530</v>
      </c>
      <c r="T288" s="8" t="s">
        <v>37</v>
      </c>
      <c r="U288" s="8" t="s">
        <v>32</v>
      </c>
      <c r="V288" s="8" t="s">
        <v>32</v>
      </c>
      <c r="W288" s="8" t="s">
        <v>33</v>
      </c>
      <c r="X288" s="8" t="s">
        <v>33</v>
      </c>
      <c r="Y288" s="8" t="s">
        <v>33</v>
      </c>
      <c r="Z288" s="8" t="s">
        <v>33</v>
      </c>
      <c r="AA288" s="8" t="s">
        <v>33</v>
      </c>
      <c r="AB288" s="8" t="s">
        <v>32</v>
      </c>
      <c r="AC288" s="8" t="s">
        <v>33</v>
      </c>
      <c r="AD288" s="8" t="s">
        <v>32</v>
      </c>
      <c r="AE288" s="8" t="s">
        <v>32</v>
      </c>
      <c r="AF288" s="4">
        <f t="shared" si="8"/>
        <v>5193</v>
      </c>
      <c r="AG288" s="4">
        <f t="shared" si="9"/>
        <v>1502.6</v>
      </c>
      <c r="AH288" s="5" t="s">
        <v>184</v>
      </c>
      <c r="AI288" s="11" t="s">
        <v>551</v>
      </c>
      <c r="AJ288" s="11" t="s">
        <v>541</v>
      </c>
      <c r="AK288" s="11" t="s">
        <v>237</v>
      </c>
    </row>
    <row r="289" spans="1:37" x14ac:dyDescent="0.3">
      <c r="A289" s="8" t="s">
        <v>150</v>
      </c>
      <c r="B289" s="8" t="s">
        <v>151</v>
      </c>
      <c r="C289" s="7">
        <v>45321</v>
      </c>
      <c r="D289" s="8" t="s">
        <v>501</v>
      </c>
      <c r="E289" s="8" t="s">
        <v>549</v>
      </c>
      <c r="F289" s="8" t="s">
        <v>549</v>
      </c>
      <c r="G289" s="8" t="s">
        <v>550</v>
      </c>
      <c r="H289" s="9">
        <v>2104</v>
      </c>
      <c r="I289" s="9">
        <v>608.79999999999995</v>
      </c>
      <c r="L289" s="8" t="s">
        <v>119</v>
      </c>
      <c r="M289" s="8" t="s">
        <v>34</v>
      </c>
      <c r="N289" s="8" t="s">
        <v>35</v>
      </c>
      <c r="O289" s="8" t="s">
        <v>14</v>
      </c>
      <c r="P289" s="8" t="s">
        <v>36</v>
      </c>
      <c r="Q289" s="8" t="s">
        <v>549</v>
      </c>
      <c r="R289" s="8" t="s">
        <v>33</v>
      </c>
      <c r="S289" s="8" t="s">
        <v>530</v>
      </c>
      <c r="T289" s="8" t="s">
        <v>37</v>
      </c>
      <c r="U289" s="8" t="s">
        <v>32</v>
      </c>
      <c r="V289" s="8" t="s">
        <v>32</v>
      </c>
      <c r="W289" s="8" t="s">
        <v>33</v>
      </c>
      <c r="X289" s="8" t="s">
        <v>33</v>
      </c>
      <c r="Y289" s="8" t="s">
        <v>33</v>
      </c>
      <c r="Z289" s="8" t="s">
        <v>33</v>
      </c>
      <c r="AA289" s="8" t="s">
        <v>33</v>
      </c>
      <c r="AB289" s="8" t="s">
        <v>32</v>
      </c>
      <c r="AC289" s="8" t="s">
        <v>33</v>
      </c>
      <c r="AD289" s="8" t="s">
        <v>32</v>
      </c>
      <c r="AE289" s="8" t="s">
        <v>32</v>
      </c>
      <c r="AF289" s="4">
        <f t="shared" si="8"/>
        <v>2104</v>
      </c>
      <c r="AG289" s="4">
        <f t="shared" si="9"/>
        <v>608.79999999999995</v>
      </c>
      <c r="AH289" s="5" t="s">
        <v>184</v>
      </c>
      <c r="AI289" s="11" t="s">
        <v>551</v>
      </c>
      <c r="AJ289" s="11" t="s">
        <v>541</v>
      </c>
      <c r="AK289" s="11" t="s">
        <v>237</v>
      </c>
    </row>
    <row r="290" spans="1:37" x14ac:dyDescent="0.3">
      <c r="A290" s="8" t="s">
        <v>150</v>
      </c>
      <c r="B290" s="8" t="s">
        <v>151</v>
      </c>
      <c r="C290" s="7">
        <v>45321</v>
      </c>
      <c r="D290" s="8" t="s">
        <v>502</v>
      </c>
      <c r="E290" s="8" t="s">
        <v>549</v>
      </c>
      <c r="F290" s="8" t="s">
        <v>549</v>
      </c>
      <c r="G290" s="8" t="s">
        <v>550</v>
      </c>
      <c r="H290" s="9">
        <v>8871</v>
      </c>
      <c r="I290" s="9">
        <v>2566.84</v>
      </c>
      <c r="L290" s="8" t="s">
        <v>119</v>
      </c>
      <c r="M290" s="8" t="s">
        <v>28</v>
      </c>
      <c r="N290" s="8" t="s">
        <v>35</v>
      </c>
      <c r="O290" s="8" t="s">
        <v>14</v>
      </c>
      <c r="P290" s="8" t="s">
        <v>36</v>
      </c>
      <c r="Q290" s="8" t="s">
        <v>549</v>
      </c>
      <c r="R290" s="8" t="s">
        <v>33</v>
      </c>
      <c r="S290" s="8" t="s">
        <v>530</v>
      </c>
      <c r="T290" s="8" t="s">
        <v>37</v>
      </c>
      <c r="U290" s="8" t="s">
        <v>32</v>
      </c>
      <c r="V290" s="8" t="s">
        <v>32</v>
      </c>
      <c r="W290" s="8" t="s">
        <v>33</v>
      </c>
      <c r="X290" s="8" t="s">
        <v>33</v>
      </c>
      <c r="Y290" s="8" t="s">
        <v>33</v>
      </c>
      <c r="Z290" s="8" t="s">
        <v>33</v>
      </c>
      <c r="AA290" s="8" t="s">
        <v>33</v>
      </c>
      <c r="AB290" s="8" t="s">
        <v>32</v>
      </c>
      <c r="AC290" s="8" t="s">
        <v>33</v>
      </c>
      <c r="AD290" s="8" t="s">
        <v>32</v>
      </c>
      <c r="AE290" s="8" t="s">
        <v>32</v>
      </c>
      <c r="AF290" s="4">
        <f t="shared" si="8"/>
        <v>8871</v>
      </c>
      <c r="AG290" s="4">
        <f t="shared" si="9"/>
        <v>2566.84</v>
      </c>
      <c r="AH290" s="5" t="s">
        <v>184</v>
      </c>
      <c r="AI290" s="11" t="s">
        <v>551</v>
      </c>
      <c r="AJ290" s="11" t="s">
        <v>541</v>
      </c>
      <c r="AK290" s="11" t="s">
        <v>237</v>
      </c>
    </row>
    <row r="291" spans="1:37" x14ac:dyDescent="0.3">
      <c r="A291" s="8" t="s">
        <v>83</v>
      </c>
      <c r="B291" s="8" t="s">
        <v>84</v>
      </c>
      <c r="C291" s="7">
        <v>45322</v>
      </c>
      <c r="D291" s="8" t="s">
        <v>503</v>
      </c>
      <c r="E291" s="8" t="s">
        <v>549</v>
      </c>
      <c r="F291" s="8" t="s">
        <v>549</v>
      </c>
      <c r="G291" s="8" t="s">
        <v>550</v>
      </c>
      <c r="H291" s="9">
        <v>410</v>
      </c>
      <c r="I291" s="9">
        <v>118.63</v>
      </c>
      <c r="L291" s="8" t="s">
        <v>105</v>
      </c>
      <c r="M291" s="8" t="s">
        <v>34</v>
      </c>
      <c r="N291" s="8" t="s">
        <v>41</v>
      </c>
      <c r="O291" s="8" t="s">
        <v>14</v>
      </c>
      <c r="P291" s="8" t="s">
        <v>42</v>
      </c>
      <c r="Q291" s="8" t="s">
        <v>549</v>
      </c>
      <c r="R291" s="8" t="s">
        <v>33</v>
      </c>
      <c r="S291" s="8" t="s">
        <v>530</v>
      </c>
      <c r="T291" s="8" t="s">
        <v>80</v>
      </c>
      <c r="U291" s="8" t="s">
        <v>32</v>
      </c>
      <c r="V291" s="8" t="s">
        <v>32</v>
      </c>
      <c r="W291" s="8" t="s">
        <v>33</v>
      </c>
      <c r="X291" s="8" t="s">
        <v>33</v>
      </c>
      <c r="Y291" s="8" t="s">
        <v>33</v>
      </c>
      <c r="Z291" s="8" t="s">
        <v>33</v>
      </c>
      <c r="AA291" s="8" t="s">
        <v>33</v>
      </c>
      <c r="AB291" s="8" t="s">
        <v>32</v>
      </c>
      <c r="AC291" s="8" t="s">
        <v>33</v>
      </c>
      <c r="AD291" s="8" t="s">
        <v>32</v>
      </c>
      <c r="AE291" s="8" t="s">
        <v>32</v>
      </c>
      <c r="AF291" s="4">
        <f t="shared" si="8"/>
        <v>410</v>
      </c>
      <c r="AG291" s="4">
        <f t="shared" si="9"/>
        <v>118.63</v>
      </c>
      <c r="AH291" s="5" t="s">
        <v>185</v>
      </c>
      <c r="AI291" s="11" t="s">
        <v>213</v>
      </c>
      <c r="AJ291" s="11" t="s">
        <v>209</v>
      </c>
      <c r="AK291" s="11" t="s">
        <v>235</v>
      </c>
    </row>
    <row r="292" spans="1:37" x14ac:dyDescent="0.3">
      <c r="A292" s="8" t="s">
        <v>83</v>
      </c>
      <c r="B292" s="8" t="s">
        <v>84</v>
      </c>
      <c r="C292" s="7">
        <v>45322</v>
      </c>
      <c r="D292" s="8" t="s">
        <v>504</v>
      </c>
      <c r="E292" s="8" t="s">
        <v>549</v>
      </c>
      <c r="F292" s="8" t="s">
        <v>549</v>
      </c>
      <c r="G292" s="8" t="s">
        <v>550</v>
      </c>
      <c r="H292" s="9">
        <v>4861</v>
      </c>
      <c r="I292" s="9">
        <v>1406.54</v>
      </c>
      <c r="L292" s="8" t="s">
        <v>105</v>
      </c>
      <c r="M292" s="8" t="s">
        <v>34</v>
      </c>
      <c r="N292" s="8" t="s">
        <v>41</v>
      </c>
      <c r="O292" s="8" t="s">
        <v>14</v>
      </c>
      <c r="P292" s="8" t="s">
        <v>42</v>
      </c>
      <c r="Q292" s="8" t="s">
        <v>549</v>
      </c>
      <c r="R292" s="8" t="s">
        <v>33</v>
      </c>
      <c r="S292" s="8" t="s">
        <v>530</v>
      </c>
      <c r="T292" s="8" t="s">
        <v>80</v>
      </c>
      <c r="U292" s="8" t="s">
        <v>32</v>
      </c>
      <c r="V292" s="8" t="s">
        <v>32</v>
      </c>
      <c r="W292" s="8" t="s">
        <v>33</v>
      </c>
      <c r="X292" s="8" t="s">
        <v>33</v>
      </c>
      <c r="Y292" s="8" t="s">
        <v>33</v>
      </c>
      <c r="Z292" s="8" t="s">
        <v>33</v>
      </c>
      <c r="AA292" s="8" t="s">
        <v>33</v>
      </c>
      <c r="AB292" s="8" t="s">
        <v>32</v>
      </c>
      <c r="AC292" s="8" t="s">
        <v>33</v>
      </c>
      <c r="AD292" s="8" t="s">
        <v>32</v>
      </c>
      <c r="AE292" s="8" t="s">
        <v>32</v>
      </c>
      <c r="AF292" s="4">
        <f t="shared" si="8"/>
        <v>4861</v>
      </c>
      <c r="AG292" s="4">
        <f t="shared" si="9"/>
        <v>1406.54</v>
      </c>
      <c r="AH292" s="5" t="s">
        <v>185</v>
      </c>
      <c r="AI292" s="11" t="s">
        <v>213</v>
      </c>
      <c r="AJ292" s="11" t="s">
        <v>209</v>
      </c>
      <c r="AK292" s="11" t="s">
        <v>235</v>
      </c>
    </row>
    <row r="293" spans="1:37" x14ac:dyDescent="0.3">
      <c r="A293" s="8" t="s">
        <v>150</v>
      </c>
      <c r="B293" s="8" t="s">
        <v>151</v>
      </c>
      <c r="C293" s="7">
        <v>45322</v>
      </c>
      <c r="D293" s="8" t="s">
        <v>505</v>
      </c>
      <c r="E293" s="8" t="s">
        <v>549</v>
      </c>
      <c r="F293" s="8" t="s">
        <v>549</v>
      </c>
      <c r="G293" s="8" t="s">
        <v>550</v>
      </c>
      <c r="H293" s="9">
        <v>3632</v>
      </c>
      <c r="I293" s="9">
        <v>1050.93</v>
      </c>
      <c r="L293" s="8" t="s">
        <v>119</v>
      </c>
      <c r="M293" s="8" t="s">
        <v>34</v>
      </c>
      <c r="N293" s="8" t="s">
        <v>29</v>
      </c>
      <c r="O293" s="8" t="s">
        <v>14</v>
      </c>
      <c r="P293" s="8" t="s">
        <v>30</v>
      </c>
      <c r="Q293" s="8" t="s">
        <v>549</v>
      </c>
      <c r="R293" s="8" t="s">
        <v>33</v>
      </c>
      <c r="S293" s="8" t="s">
        <v>530</v>
      </c>
      <c r="T293" s="8" t="s">
        <v>31</v>
      </c>
      <c r="U293" s="8" t="s">
        <v>32</v>
      </c>
      <c r="V293" s="8" t="s">
        <v>32</v>
      </c>
      <c r="W293" s="8" t="s">
        <v>33</v>
      </c>
      <c r="X293" s="8" t="s">
        <v>33</v>
      </c>
      <c r="Y293" s="8" t="s">
        <v>33</v>
      </c>
      <c r="Z293" s="8" t="s">
        <v>33</v>
      </c>
      <c r="AA293" s="8" t="s">
        <v>33</v>
      </c>
      <c r="AB293" s="8" t="s">
        <v>32</v>
      </c>
      <c r="AC293" s="8" t="s">
        <v>33</v>
      </c>
      <c r="AD293" s="8" t="s">
        <v>32</v>
      </c>
      <c r="AE293" s="8" t="s">
        <v>32</v>
      </c>
      <c r="AF293" s="4">
        <f t="shared" si="8"/>
        <v>3632</v>
      </c>
      <c r="AG293" s="4">
        <f t="shared" si="9"/>
        <v>1050.93</v>
      </c>
      <c r="AH293" s="5" t="s">
        <v>184</v>
      </c>
      <c r="AI293" s="11" t="s">
        <v>551</v>
      </c>
      <c r="AJ293" s="11" t="s">
        <v>541</v>
      </c>
      <c r="AK293" s="11" t="s">
        <v>237</v>
      </c>
    </row>
    <row r="294" spans="1:37" x14ac:dyDescent="0.3">
      <c r="A294" s="8" t="s">
        <v>150</v>
      </c>
      <c r="B294" s="8" t="s">
        <v>151</v>
      </c>
      <c r="C294" s="7">
        <v>45322</v>
      </c>
      <c r="D294" s="8" t="s">
        <v>506</v>
      </c>
      <c r="E294" s="8" t="s">
        <v>549</v>
      </c>
      <c r="F294" s="8" t="s">
        <v>549</v>
      </c>
      <c r="G294" s="8" t="s">
        <v>550</v>
      </c>
      <c r="H294" s="9">
        <v>5797</v>
      </c>
      <c r="I294" s="9">
        <v>1677.37</v>
      </c>
      <c r="L294" s="8" t="s">
        <v>119</v>
      </c>
      <c r="M294" s="8" t="s">
        <v>34</v>
      </c>
      <c r="N294" s="8" t="s">
        <v>29</v>
      </c>
      <c r="O294" s="8" t="s">
        <v>14</v>
      </c>
      <c r="P294" s="8" t="s">
        <v>30</v>
      </c>
      <c r="Q294" s="8" t="s">
        <v>549</v>
      </c>
      <c r="R294" s="8" t="s">
        <v>33</v>
      </c>
      <c r="S294" s="8" t="s">
        <v>530</v>
      </c>
      <c r="T294" s="8" t="s">
        <v>31</v>
      </c>
      <c r="U294" s="8" t="s">
        <v>32</v>
      </c>
      <c r="V294" s="8" t="s">
        <v>32</v>
      </c>
      <c r="W294" s="8" t="s">
        <v>33</v>
      </c>
      <c r="X294" s="8" t="s">
        <v>33</v>
      </c>
      <c r="Y294" s="8" t="s">
        <v>33</v>
      </c>
      <c r="Z294" s="8" t="s">
        <v>33</v>
      </c>
      <c r="AA294" s="8" t="s">
        <v>33</v>
      </c>
      <c r="AB294" s="8" t="s">
        <v>32</v>
      </c>
      <c r="AC294" s="8" t="s">
        <v>33</v>
      </c>
      <c r="AD294" s="8" t="s">
        <v>32</v>
      </c>
      <c r="AE294" s="8" t="s">
        <v>32</v>
      </c>
      <c r="AF294" s="4">
        <f t="shared" si="8"/>
        <v>5797</v>
      </c>
      <c r="AG294" s="4">
        <f t="shared" si="9"/>
        <v>1677.37</v>
      </c>
      <c r="AH294" s="5" t="s">
        <v>184</v>
      </c>
      <c r="AI294" s="11" t="s">
        <v>551</v>
      </c>
      <c r="AJ294" s="11" t="s">
        <v>541</v>
      </c>
      <c r="AK294" s="11" t="s">
        <v>237</v>
      </c>
    </row>
    <row r="295" spans="1:37" x14ac:dyDescent="0.3">
      <c r="A295" s="8" t="s">
        <v>150</v>
      </c>
      <c r="B295" s="8" t="s">
        <v>151</v>
      </c>
      <c r="C295" s="7">
        <v>45322</v>
      </c>
      <c r="D295" s="8" t="s">
        <v>506</v>
      </c>
      <c r="E295" s="8" t="s">
        <v>549</v>
      </c>
      <c r="F295" s="8" t="s">
        <v>549</v>
      </c>
      <c r="G295" s="8" t="s">
        <v>550</v>
      </c>
      <c r="H295" s="9">
        <v>1711</v>
      </c>
      <c r="I295" s="9">
        <v>495.08</v>
      </c>
      <c r="L295" s="8" t="s">
        <v>119</v>
      </c>
      <c r="M295" s="8" t="s">
        <v>38</v>
      </c>
      <c r="N295" s="8" t="s">
        <v>29</v>
      </c>
      <c r="O295" s="8" t="s">
        <v>14</v>
      </c>
      <c r="P295" s="8" t="s">
        <v>30</v>
      </c>
      <c r="Q295" s="8" t="s">
        <v>549</v>
      </c>
      <c r="R295" s="8" t="s">
        <v>33</v>
      </c>
      <c r="S295" s="8" t="s">
        <v>530</v>
      </c>
      <c r="T295" s="8" t="s">
        <v>31</v>
      </c>
      <c r="U295" s="8" t="s">
        <v>32</v>
      </c>
      <c r="V295" s="8" t="s">
        <v>32</v>
      </c>
      <c r="W295" s="8" t="s">
        <v>33</v>
      </c>
      <c r="X295" s="8" t="s">
        <v>33</v>
      </c>
      <c r="Y295" s="8" t="s">
        <v>33</v>
      </c>
      <c r="Z295" s="8" t="s">
        <v>33</v>
      </c>
      <c r="AA295" s="8" t="s">
        <v>33</v>
      </c>
      <c r="AB295" s="8" t="s">
        <v>32</v>
      </c>
      <c r="AC295" s="8" t="s">
        <v>33</v>
      </c>
      <c r="AD295" s="8" t="s">
        <v>32</v>
      </c>
      <c r="AE295" s="8" t="s">
        <v>32</v>
      </c>
      <c r="AF295" s="4">
        <f t="shared" si="8"/>
        <v>1711</v>
      </c>
      <c r="AG295" s="4">
        <f t="shared" si="9"/>
        <v>495.08</v>
      </c>
      <c r="AH295" s="5" t="s">
        <v>184</v>
      </c>
      <c r="AI295" s="11" t="s">
        <v>551</v>
      </c>
      <c r="AJ295" s="11" t="s">
        <v>541</v>
      </c>
      <c r="AK295" s="11" t="s">
        <v>237</v>
      </c>
    </row>
    <row r="296" spans="1:37" x14ac:dyDescent="0.3">
      <c r="A296" s="8" t="s">
        <v>180</v>
      </c>
      <c r="B296" s="8" t="s">
        <v>181</v>
      </c>
      <c r="C296" s="7">
        <v>45322</v>
      </c>
      <c r="D296" s="8" t="s">
        <v>507</v>
      </c>
      <c r="E296" s="8" t="s">
        <v>549</v>
      </c>
      <c r="F296" s="8" t="s">
        <v>549</v>
      </c>
      <c r="G296" s="8" t="s">
        <v>550</v>
      </c>
      <c r="H296" s="9">
        <v>3476</v>
      </c>
      <c r="I296" s="9">
        <v>1005.79</v>
      </c>
      <c r="L296" s="8" t="s">
        <v>77</v>
      </c>
      <c r="M296" s="8" t="s">
        <v>34</v>
      </c>
      <c r="N296" s="8" t="s">
        <v>29</v>
      </c>
      <c r="O296" s="8" t="s">
        <v>14</v>
      </c>
      <c r="P296" s="8" t="s">
        <v>30</v>
      </c>
      <c r="Q296" s="8" t="s">
        <v>549</v>
      </c>
      <c r="R296" s="8" t="s">
        <v>33</v>
      </c>
      <c r="S296" s="8" t="s">
        <v>530</v>
      </c>
      <c r="T296" s="8" t="s">
        <v>31</v>
      </c>
      <c r="U296" s="8" t="s">
        <v>32</v>
      </c>
      <c r="V296" s="8" t="s">
        <v>32</v>
      </c>
      <c r="W296" s="8" t="s">
        <v>33</v>
      </c>
      <c r="X296" s="8" t="s">
        <v>33</v>
      </c>
      <c r="Y296" s="8" t="s">
        <v>33</v>
      </c>
      <c r="Z296" s="8" t="s">
        <v>33</v>
      </c>
      <c r="AA296" s="8" t="s">
        <v>33</v>
      </c>
      <c r="AB296" s="8" t="s">
        <v>32</v>
      </c>
      <c r="AC296" s="8" t="s">
        <v>33</v>
      </c>
      <c r="AD296" s="8" t="s">
        <v>32</v>
      </c>
      <c r="AE296" s="8" t="s">
        <v>32</v>
      </c>
      <c r="AF296" s="4">
        <f t="shared" si="8"/>
        <v>3476</v>
      </c>
      <c r="AG296" s="4">
        <f t="shared" si="9"/>
        <v>1005.79</v>
      </c>
      <c r="AH296" s="5" t="s">
        <v>185</v>
      </c>
      <c r="AI296" s="11" t="s">
        <v>234</v>
      </c>
      <c r="AJ296" s="11" t="s">
        <v>211</v>
      </c>
      <c r="AK296" s="11" t="s">
        <v>235</v>
      </c>
    </row>
    <row r="297" spans="1:37" x14ac:dyDescent="0.3">
      <c r="A297" s="8" t="s">
        <v>90</v>
      </c>
      <c r="B297" s="8" t="s">
        <v>91</v>
      </c>
      <c r="C297" s="7">
        <v>45322</v>
      </c>
      <c r="D297" s="8" t="s">
        <v>508</v>
      </c>
      <c r="E297" s="8" t="s">
        <v>549</v>
      </c>
      <c r="F297" s="8" t="s">
        <v>549</v>
      </c>
      <c r="G297" s="8" t="s">
        <v>550</v>
      </c>
      <c r="H297" s="9">
        <v>4406</v>
      </c>
      <c r="I297" s="9">
        <v>1274.8800000000001</v>
      </c>
      <c r="L297" s="8" t="s">
        <v>89</v>
      </c>
      <c r="M297" s="8" t="s">
        <v>34</v>
      </c>
      <c r="N297" s="8" t="s">
        <v>29</v>
      </c>
      <c r="O297" s="8" t="s">
        <v>14</v>
      </c>
      <c r="P297" s="8" t="s">
        <v>30</v>
      </c>
      <c r="Q297" s="8" t="s">
        <v>549</v>
      </c>
      <c r="R297" s="8" t="s">
        <v>33</v>
      </c>
      <c r="S297" s="8" t="s">
        <v>530</v>
      </c>
      <c r="T297" s="8" t="s">
        <v>31</v>
      </c>
      <c r="U297" s="8" t="s">
        <v>32</v>
      </c>
      <c r="V297" s="8" t="s">
        <v>32</v>
      </c>
      <c r="W297" s="8" t="s">
        <v>33</v>
      </c>
      <c r="X297" s="8" t="s">
        <v>33</v>
      </c>
      <c r="Y297" s="8" t="s">
        <v>33</v>
      </c>
      <c r="Z297" s="8" t="s">
        <v>33</v>
      </c>
      <c r="AA297" s="8" t="s">
        <v>33</v>
      </c>
      <c r="AB297" s="8" t="s">
        <v>32</v>
      </c>
      <c r="AC297" s="8" t="s">
        <v>33</v>
      </c>
      <c r="AD297" s="8" t="s">
        <v>32</v>
      </c>
      <c r="AE297" s="8" t="s">
        <v>32</v>
      </c>
      <c r="AF297" s="4">
        <f t="shared" si="8"/>
        <v>4406</v>
      </c>
      <c r="AG297" s="4">
        <f t="shared" si="9"/>
        <v>1274.8800000000001</v>
      </c>
      <c r="AH297" s="5" t="s">
        <v>185</v>
      </c>
      <c r="AI297" s="11" t="s">
        <v>218</v>
      </c>
      <c r="AJ297" s="11" t="s">
        <v>208</v>
      </c>
      <c r="AK297" s="11" t="s">
        <v>235</v>
      </c>
    </row>
    <row r="298" spans="1:37" x14ac:dyDescent="0.3">
      <c r="A298" s="8" t="s">
        <v>90</v>
      </c>
      <c r="B298" s="8" t="s">
        <v>91</v>
      </c>
      <c r="C298" s="7">
        <v>45322</v>
      </c>
      <c r="D298" s="8" t="s">
        <v>508</v>
      </c>
      <c r="E298" s="8" t="s">
        <v>549</v>
      </c>
      <c r="F298" s="8" t="s">
        <v>549</v>
      </c>
      <c r="G298" s="8" t="s">
        <v>550</v>
      </c>
      <c r="H298" s="9">
        <v>3045</v>
      </c>
      <c r="I298" s="9">
        <v>881.08</v>
      </c>
      <c r="L298" s="8" t="s">
        <v>89</v>
      </c>
      <c r="M298" s="8" t="s">
        <v>38</v>
      </c>
      <c r="N298" s="8" t="s">
        <v>29</v>
      </c>
      <c r="O298" s="8" t="s">
        <v>14</v>
      </c>
      <c r="P298" s="8" t="s">
        <v>30</v>
      </c>
      <c r="Q298" s="8" t="s">
        <v>549</v>
      </c>
      <c r="R298" s="8" t="s">
        <v>33</v>
      </c>
      <c r="S298" s="8" t="s">
        <v>530</v>
      </c>
      <c r="T298" s="8" t="s">
        <v>31</v>
      </c>
      <c r="U298" s="8" t="s">
        <v>32</v>
      </c>
      <c r="V298" s="8" t="s">
        <v>32</v>
      </c>
      <c r="W298" s="8" t="s">
        <v>33</v>
      </c>
      <c r="X298" s="8" t="s">
        <v>33</v>
      </c>
      <c r="Y298" s="8" t="s">
        <v>33</v>
      </c>
      <c r="Z298" s="8" t="s">
        <v>33</v>
      </c>
      <c r="AA298" s="8" t="s">
        <v>33</v>
      </c>
      <c r="AB298" s="8" t="s">
        <v>32</v>
      </c>
      <c r="AC298" s="8" t="s">
        <v>33</v>
      </c>
      <c r="AD298" s="8" t="s">
        <v>32</v>
      </c>
      <c r="AE298" s="8" t="s">
        <v>32</v>
      </c>
      <c r="AF298" s="4">
        <f t="shared" si="8"/>
        <v>3045</v>
      </c>
      <c r="AG298" s="4">
        <f t="shared" si="9"/>
        <v>881.08</v>
      </c>
      <c r="AH298" s="5" t="s">
        <v>185</v>
      </c>
      <c r="AI298" s="11" t="s">
        <v>218</v>
      </c>
      <c r="AJ298" s="11" t="s">
        <v>208</v>
      </c>
      <c r="AK298" s="11" t="s">
        <v>235</v>
      </c>
    </row>
    <row r="299" spans="1:37" x14ac:dyDescent="0.3">
      <c r="A299" s="8" t="s">
        <v>90</v>
      </c>
      <c r="B299" s="8" t="s">
        <v>91</v>
      </c>
      <c r="C299" s="7">
        <v>45322</v>
      </c>
      <c r="D299" s="8" t="s">
        <v>508</v>
      </c>
      <c r="E299" s="8" t="s">
        <v>549</v>
      </c>
      <c r="F299" s="8" t="s">
        <v>549</v>
      </c>
      <c r="G299" s="8" t="s">
        <v>550</v>
      </c>
      <c r="H299" s="9">
        <v>4459</v>
      </c>
      <c r="I299" s="9">
        <v>1290.22</v>
      </c>
      <c r="L299" s="8" t="s">
        <v>89</v>
      </c>
      <c r="M299" s="8" t="s">
        <v>39</v>
      </c>
      <c r="N299" s="8" t="s">
        <v>29</v>
      </c>
      <c r="O299" s="8" t="s">
        <v>14</v>
      </c>
      <c r="P299" s="8" t="s">
        <v>30</v>
      </c>
      <c r="Q299" s="8" t="s">
        <v>549</v>
      </c>
      <c r="R299" s="8" t="s">
        <v>33</v>
      </c>
      <c r="S299" s="8" t="s">
        <v>530</v>
      </c>
      <c r="T299" s="8" t="s">
        <v>31</v>
      </c>
      <c r="U299" s="8" t="s">
        <v>32</v>
      </c>
      <c r="V299" s="8" t="s">
        <v>32</v>
      </c>
      <c r="W299" s="8" t="s">
        <v>33</v>
      </c>
      <c r="X299" s="8" t="s">
        <v>33</v>
      </c>
      <c r="Y299" s="8" t="s">
        <v>33</v>
      </c>
      <c r="Z299" s="8" t="s">
        <v>33</v>
      </c>
      <c r="AA299" s="8" t="s">
        <v>33</v>
      </c>
      <c r="AB299" s="8" t="s">
        <v>32</v>
      </c>
      <c r="AC299" s="8" t="s">
        <v>33</v>
      </c>
      <c r="AD299" s="8" t="s">
        <v>32</v>
      </c>
      <c r="AE299" s="8" t="s">
        <v>32</v>
      </c>
      <c r="AF299" s="4">
        <f t="shared" si="8"/>
        <v>4459</v>
      </c>
      <c r="AG299" s="4">
        <f t="shared" si="9"/>
        <v>1290.22</v>
      </c>
      <c r="AH299" s="5" t="s">
        <v>185</v>
      </c>
      <c r="AI299" s="11" t="s">
        <v>218</v>
      </c>
      <c r="AJ299" s="11" t="s">
        <v>208</v>
      </c>
      <c r="AK299" s="11" t="s">
        <v>235</v>
      </c>
    </row>
    <row r="300" spans="1:37" x14ac:dyDescent="0.3">
      <c r="A300" s="8" t="s">
        <v>90</v>
      </c>
      <c r="B300" s="8" t="s">
        <v>91</v>
      </c>
      <c r="C300" s="7">
        <v>45322</v>
      </c>
      <c r="D300" s="8" t="s">
        <v>508</v>
      </c>
      <c r="E300" s="8" t="s">
        <v>549</v>
      </c>
      <c r="F300" s="8" t="s">
        <v>549</v>
      </c>
      <c r="G300" s="8" t="s">
        <v>550</v>
      </c>
      <c r="H300" s="9">
        <v>7095</v>
      </c>
      <c r="I300" s="9">
        <v>2052.9499999999998</v>
      </c>
      <c r="L300" s="8" t="s">
        <v>89</v>
      </c>
      <c r="M300" s="8" t="s">
        <v>43</v>
      </c>
      <c r="N300" s="8" t="s">
        <v>29</v>
      </c>
      <c r="O300" s="8" t="s">
        <v>14</v>
      </c>
      <c r="P300" s="8" t="s">
        <v>30</v>
      </c>
      <c r="Q300" s="8" t="s">
        <v>549</v>
      </c>
      <c r="R300" s="8" t="s">
        <v>33</v>
      </c>
      <c r="S300" s="8" t="s">
        <v>530</v>
      </c>
      <c r="T300" s="8" t="s">
        <v>31</v>
      </c>
      <c r="U300" s="8" t="s">
        <v>32</v>
      </c>
      <c r="V300" s="8" t="s">
        <v>32</v>
      </c>
      <c r="W300" s="8" t="s">
        <v>33</v>
      </c>
      <c r="X300" s="8" t="s">
        <v>33</v>
      </c>
      <c r="Y300" s="8" t="s">
        <v>33</v>
      </c>
      <c r="Z300" s="8" t="s">
        <v>33</v>
      </c>
      <c r="AA300" s="8" t="s">
        <v>33</v>
      </c>
      <c r="AB300" s="8" t="s">
        <v>32</v>
      </c>
      <c r="AC300" s="8" t="s">
        <v>33</v>
      </c>
      <c r="AD300" s="8" t="s">
        <v>32</v>
      </c>
      <c r="AE300" s="8" t="s">
        <v>32</v>
      </c>
      <c r="AF300" s="4">
        <f t="shared" si="8"/>
        <v>7095</v>
      </c>
      <c r="AG300" s="4">
        <f t="shared" si="9"/>
        <v>2052.9499999999998</v>
      </c>
      <c r="AH300" s="5" t="s">
        <v>185</v>
      </c>
      <c r="AI300" s="11" t="s">
        <v>218</v>
      </c>
      <c r="AJ300" s="11" t="s">
        <v>208</v>
      </c>
      <c r="AK300" s="11" t="s">
        <v>235</v>
      </c>
    </row>
    <row r="301" spans="1:37" x14ac:dyDescent="0.3">
      <c r="A301" s="8" t="s">
        <v>90</v>
      </c>
      <c r="B301" s="8" t="s">
        <v>91</v>
      </c>
      <c r="C301" s="7">
        <v>45322</v>
      </c>
      <c r="D301" s="8" t="s">
        <v>508</v>
      </c>
      <c r="E301" s="8" t="s">
        <v>549</v>
      </c>
      <c r="F301" s="8" t="s">
        <v>549</v>
      </c>
      <c r="G301" s="8" t="s">
        <v>550</v>
      </c>
      <c r="H301" s="9">
        <v>4827</v>
      </c>
      <c r="I301" s="9">
        <v>1396.7</v>
      </c>
      <c r="L301" s="8" t="s">
        <v>89</v>
      </c>
      <c r="M301" s="8" t="s">
        <v>44</v>
      </c>
      <c r="N301" s="8" t="s">
        <v>29</v>
      </c>
      <c r="O301" s="8" t="s">
        <v>14</v>
      </c>
      <c r="P301" s="8" t="s">
        <v>30</v>
      </c>
      <c r="Q301" s="8" t="s">
        <v>549</v>
      </c>
      <c r="R301" s="8" t="s">
        <v>33</v>
      </c>
      <c r="S301" s="8" t="s">
        <v>530</v>
      </c>
      <c r="T301" s="8" t="s">
        <v>31</v>
      </c>
      <c r="U301" s="8" t="s">
        <v>32</v>
      </c>
      <c r="V301" s="8" t="s">
        <v>32</v>
      </c>
      <c r="W301" s="8" t="s">
        <v>33</v>
      </c>
      <c r="X301" s="8" t="s">
        <v>33</v>
      </c>
      <c r="Y301" s="8" t="s">
        <v>33</v>
      </c>
      <c r="Z301" s="8" t="s">
        <v>33</v>
      </c>
      <c r="AA301" s="8" t="s">
        <v>33</v>
      </c>
      <c r="AB301" s="8" t="s">
        <v>32</v>
      </c>
      <c r="AC301" s="8" t="s">
        <v>33</v>
      </c>
      <c r="AD301" s="8" t="s">
        <v>32</v>
      </c>
      <c r="AE301" s="8" t="s">
        <v>32</v>
      </c>
      <c r="AF301" s="4">
        <f t="shared" si="8"/>
        <v>4827</v>
      </c>
      <c r="AG301" s="4">
        <f t="shared" si="9"/>
        <v>1396.7</v>
      </c>
      <c r="AH301" s="5" t="s">
        <v>185</v>
      </c>
      <c r="AI301" s="11" t="s">
        <v>218</v>
      </c>
      <c r="AJ301" s="11" t="s">
        <v>208</v>
      </c>
      <c r="AK301" s="11" t="s">
        <v>235</v>
      </c>
    </row>
    <row r="302" spans="1:37" x14ac:dyDescent="0.3">
      <c r="A302" s="8" t="s">
        <v>178</v>
      </c>
      <c r="B302" s="8" t="s">
        <v>179</v>
      </c>
      <c r="C302" s="7">
        <v>45322</v>
      </c>
      <c r="D302" s="8" t="s">
        <v>509</v>
      </c>
      <c r="E302" s="8" t="s">
        <v>549</v>
      </c>
      <c r="F302" s="8" t="s">
        <v>549</v>
      </c>
      <c r="G302" s="8" t="s">
        <v>550</v>
      </c>
      <c r="H302" s="9">
        <v>8919</v>
      </c>
      <c r="I302" s="9">
        <v>2580.73</v>
      </c>
      <c r="L302" s="8" t="s">
        <v>119</v>
      </c>
      <c r="M302" s="8" t="s">
        <v>34</v>
      </c>
      <c r="N302" s="8" t="s">
        <v>29</v>
      </c>
      <c r="O302" s="8" t="s">
        <v>14</v>
      </c>
      <c r="P302" s="8" t="s">
        <v>30</v>
      </c>
      <c r="Q302" s="8" t="s">
        <v>549</v>
      </c>
      <c r="R302" s="8" t="s">
        <v>33</v>
      </c>
      <c r="S302" s="8" t="s">
        <v>530</v>
      </c>
      <c r="T302" s="8" t="s">
        <v>31</v>
      </c>
      <c r="U302" s="8" t="s">
        <v>32</v>
      </c>
      <c r="V302" s="8" t="s">
        <v>32</v>
      </c>
      <c r="W302" s="8" t="s">
        <v>33</v>
      </c>
      <c r="X302" s="8" t="s">
        <v>33</v>
      </c>
      <c r="Y302" s="8" t="s">
        <v>33</v>
      </c>
      <c r="Z302" s="8" t="s">
        <v>33</v>
      </c>
      <c r="AA302" s="8" t="s">
        <v>33</v>
      </c>
      <c r="AB302" s="8" t="s">
        <v>32</v>
      </c>
      <c r="AC302" s="8" t="s">
        <v>33</v>
      </c>
      <c r="AD302" s="8" t="s">
        <v>32</v>
      </c>
      <c r="AE302" s="8" t="s">
        <v>32</v>
      </c>
      <c r="AF302" s="4">
        <f t="shared" si="8"/>
        <v>8919</v>
      </c>
      <c r="AG302" s="4">
        <f t="shared" si="9"/>
        <v>2580.73</v>
      </c>
      <c r="AH302" s="5" t="s">
        <v>184</v>
      </c>
      <c r="AI302" s="11" t="s">
        <v>557</v>
      </c>
      <c r="AJ302" s="11" t="s">
        <v>541</v>
      </c>
      <c r="AK302" s="11" t="s">
        <v>237</v>
      </c>
    </row>
    <row r="303" spans="1:37" x14ac:dyDescent="0.3">
      <c r="A303" s="8" t="s">
        <v>87</v>
      </c>
      <c r="B303" s="8" t="s">
        <v>88</v>
      </c>
      <c r="C303" s="7">
        <v>45322</v>
      </c>
      <c r="D303" s="8" t="s">
        <v>510</v>
      </c>
      <c r="E303" s="8" t="s">
        <v>549</v>
      </c>
      <c r="F303" s="8" t="s">
        <v>549</v>
      </c>
      <c r="G303" s="8" t="s">
        <v>550</v>
      </c>
      <c r="H303" s="9">
        <v>6897</v>
      </c>
      <c r="I303" s="9">
        <v>1995.66</v>
      </c>
      <c r="L303" s="8" t="s">
        <v>76</v>
      </c>
      <c r="M303" s="8" t="s">
        <v>34</v>
      </c>
      <c r="N303" s="8" t="s">
        <v>29</v>
      </c>
      <c r="O303" s="8" t="s">
        <v>14</v>
      </c>
      <c r="P303" s="8" t="s">
        <v>30</v>
      </c>
      <c r="Q303" s="8" t="s">
        <v>549</v>
      </c>
      <c r="R303" s="8" t="s">
        <v>33</v>
      </c>
      <c r="S303" s="8" t="s">
        <v>530</v>
      </c>
      <c r="T303" s="8" t="s">
        <v>31</v>
      </c>
      <c r="U303" s="8" t="s">
        <v>32</v>
      </c>
      <c r="V303" s="8" t="s">
        <v>32</v>
      </c>
      <c r="W303" s="8" t="s">
        <v>33</v>
      </c>
      <c r="X303" s="8" t="s">
        <v>33</v>
      </c>
      <c r="Y303" s="8" t="s">
        <v>33</v>
      </c>
      <c r="Z303" s="8" t="s">
        <v>33</v>
      </c>
      <c r="AA303" s="8" t="s">
        <v>33</v>
      </c>
      <c r="AB303" s="8" t="s">
        <v>32</v>
      </c>
      <c r="AC303" s="8" t="s">
        <v>33</v>
      </c>
      <c r="AD303" s="8" t="s">
        <v>32</v>
      </c>
      <c r="AE303" s="8" t="s">
        <v>32</v>
      </c>
      <c r="AF303" s="4">
        <f t="shared" si="8"/>
        <v>6897</v>
      </c>
      <c r="AG303" s="4">
        <f t="shared" si="9"/>
        <v>1995.66</v>
      </c>
      <c r="AH303" s="5" t="s">
        <v>185</v>
      </c>
      <c r="AI303" s="11" t="s">
        <v>213</v>
      </c>
      <c r="AJ303" s="11" t="s">
        <v>205</v>
      </c>
      <c r="AK303" s="11" t="s">
        <v>235</v>
      </c>
    </row>
    <row r="304" spans="1:37" x14ac:dyDescent="0.3">
      <c r="A304" s="8" t="s">
        <v>87</v>
      </c>
      <c r="B304" s="8" t="s">
        <v>88</v>
      </c>
      <c r="C304" s="7">
        <v>45322</v>
      </c>
      <c r="D304" s="8" t="s">
        <v>534</v>
      </c>
      <c r="E304" s="8" t="s">
        <v>549</v>
      </c>
      <c r="F304" s="8" t="s">
        <v>549</v>
      </c>
      <c r="G304" s="8" t="s">
        <v>550</v>
      </c>
      <c r="H304" s="9">
        <v>5379</v>
      </c>
      <c r="I304" s="9">
        <v>1556.42</v>
      </c>
      <c r="L304" s="8" t="s">
        <v>76</v>
      </c>
      <c r="M304" s="8" t="s">
        <v>34</v>
      </c>
      <c r="N304" s="8" t="s">
        <v>29</v>
      </c>
      <c r="O304" s="8" t="s">
        <v>14</v>
      </c>
      <c r="P304" s="8" t="s">
        <v>30</v>
      </c>
      <c r="Q304" s="8" t="s">
        <v>549</v>
      </c>
      <c r="R304" s="8" t="s">
        <v>33</v>
      </c>
      <c r="S304" s="8" t="s">
        <v>530</v>
      </c>
      <c r="T304" s="8" t="s">
        <v>31</v>
      </c>
      <c r="U304" s="8" t="s">
        <v>32</v>
      </c>
      <c r="V304" s="8" t="s">
        <v>32</v>
      </c>
      <c r="W304" s="8" t="s">
        <v>33</v>
      </c>
      <c r="X304" s="8" t="s">
        <v>33</v>
      </c>
      <c r="Y304" s="8" t="s">
        <v>33</v>
      </c>
      <c r="Z304" s="8" t="s">
        <v>33</v>
      </c>
      <c r="AA304" s="8" t="s">
        <v>33</v>
      </c>
      <c r="AB304" s="8" t="s">
        <v>32</v>
      </c>
      <c r="AC304" s="8" t="s">
        <v>33</v>
      </c>
      <c r="AD304" s="8" t="s">
        <v>32</v>
      </c>
      <c r="AE304" s="8" t="s">
        <v>32</v>
      </c>
      <c r="AF304" s="4">
        <f t="shared" si="8"/>
        <v>5379</v>
      </c>
      <c r="AG304" s="4">
        <f t="shared" si="9"/>
        <v>1556.42</v>
      </c>
      <c r="AH304" s="5" t="s">
        <v>185</v>
      </c>
      <c r="AI304" s="11" t="s">
        <v>213</v>
      </c>
      <c r="AJ304" s="11" t="s">
        <v>205</v>
      </c>
      <c r="AK304" s="11" t="s">
        <v>235</v>
      </c>
    </row>
    <row r="305" spans="1:37" x14ac:dyDescent="0.3">
      <c r="A305" s="8" t="s">
        <v>87</v>
      </c>
      <c r="B305" s="8" t="s">
        <v>88</v>
      </c>
      <c r="C305" s="7">
        <v>45322</v>
      </c>
      <c r="D305" s="8" t="s">
        <v>535</v>
      </c>
      <c r="E305" s="8" t="s">
        <v>549</v>
      </c>
      <c r="F305" s="8" t="s">
        <v>549</v>
      </c>
      <c r="G305" s="8" t="s">
        <v>550</v>
      </c>
      <c r="H305" s="9">
        <v>5414</v>
      </c>
      <c r="I305" s="9">
        <v>1566.55</v>
      </c>
      <c r="L305" s="8" t="s">
        <v>76</v>
      </c>
      <c r="M305" s="8" t="s">
        <v>34</v>
      </c>
      <c r="N305" s="8" t="s">
        <v>29</v>
      </c>
      <c r="O305" s="8" t="s">
        <v>14</v>
      </c>
      <c r="P305" s="8" t="s">
        <v>30</v>
      </c>
      <c r="Q305" s="8" t="s">
        <v>549</v>
      </c>
      <c r="R305" s="8" t="s">
        <v>33</v>
      </c>
      <c r="S305" s="8" t="s">
        <v>530</v>
      </c>
      <c r="T305" s="8" t="s">
        <v>31</v>
      </c>
      <c r="U305" s="8" t="s">
        <v>32</v>
      </c>
      <c r="V305" s="8" t="s">
        <v>32</v>
      </c>
      <c r="W305" s="8" t="s">
        <v>33</v>
      </c>
      <c r="X305" s="8" t="s">
        <v>33</v>
      </c>
      <c r="Y305" s="8" t="s">
        <v>33</v>
      </c>
      <c r="Z305" s="8" t="s">
        <v>33</v>
      </c>
      <c r="AA305" s="8" t="s">
        <v>33</v>
      </c>
      <c r="AB305" s="8" t="s">
        <v>32</v>
      </c>
      <c r="AC305" s="8" t="s">
        <v>33</v>
      </c>
      <c r="AD305" s="8" t="s">
        <v>32</v>
      </c>
      <c r="AE305" s="8" t="s">
        <v>32</v>
      </c>
      <c r="AF305" s="4">
        <f t="shared" si="8"/>
        <v>5414</v>
      </c>
      <c r="AG305" s="4">
        <f t="shared" si="9"/>
        <v>1566.55</v>
      </c>
      <c r="AH305" s="5" t="s">
        <v>185</v>
      </c>
      <c r="AI305" s="11" t="s">
        <v>213</v>
      </c>
      <c r="AJ305" s="11" t="s">
        <v>205</v>
      </c>
      <c r="AK305" s="11" t="s">
        <v>235</v>
      </c>
    </row>
    <row r="306" spans="1:37" x14ac:dyDescent="0.3">
      <c r="A306" s="8" t="s">
        <v>85</v>
      </c>
      <c r="B306" s="8" t="s">
        <v>86</v>
      </c>
      <c r="C306" s="7">
        <v>45322</v>
      </c>
      <c r="D306" s="8" t="s">
        <v>511</v>
      </c>
      <c r="E306" s="8" t="s">
        <v>549</v>
      </c>
      <c r="F306" s="8" t="s">
        <v>549</v>
      </c>
      <c r="G306" s="8" t="s">
        <v>550</v>
      </c>
      <c r="H306" s="9">
        <v>4825</v>
      </c>
      <c r="I306" s="9">
        <v>1396.12</v>
      </c>
      <c r="L306" s="8" t="s">
        <v>78</v>
      </c>
      <c r="M306" s="8" t="s">
        <v>28</v>
      </c>
      <c r="N306" s="8" t="s">
        <v>35</v>
      </c>
      <c r="O306" s="8" t="s">
        <v>14</v>
      </c>
      <c r="P306" s="8" t="s">
        <v>36</v>
      </c>
      <c r="Q306" s="8" t="s">
        <v>549</v>
      </c>
      <c r="R306" s="8" t="s">
        <v>33</v>
      </c>
      <c r="S306" s="8" t="s">
        <v>530</v>
      </c>
      <c r="T306" s="8" t="s">
        <v>37</v>
      </c>
      <c r="U306" s="8" t="s">
        <v>32</v>
      </c>
      <c r="V306" s="8" t="s">
        <v>32</v>
      </c>
      <c r="W306" s="8" t="s">
        <v>33</v>
      </c>
      <c r="X306" s="8" t="s">
        <v>33</v>
      </c>
      <c r="Y306" s="8" t="s">
        <v>33</v>
      </c>
      <c r="Z306" s="8" t="s">
        <v>33</v>
      </c>
      <c r="AA306" s="8" t="s">
        <v>33</v>
      </c>
      <c r="AB306" s="8" t="s">
        <v>32</v>
      </c>
      <c r="AC306" s="8" t="s">
        <v>33</v>
      </c>
      <c r="AD306" s="8" t="s">
        <v>32</v>
      </c>
      <c r="AE306" s="8" t="s">
        <v>32</v>
      </c>
      <c r="AF306" s="4">
        <f t="shared" si="8"/>
        <v>4825</v>
      </c>
      <c r="AG306" s="4">
        <f t="shared" si="9"/>
        <v>1396.12</v>
      </c>
      <c r="AH306" s="5" t="s">
        <v>184</v>
      </c>
      <c r="AI306" s="11" t="s">
        <v>213</v>
      </c>
      <c r="AJ306" s="11" t="s">
        <v>543</v>
      </c>
      <c r="AK306" s="11" t="s">
        <v>237</v>
      </c>
    </row>
    <row r="307" spans="1:37" x14ac:dyDescent="0.3">
      <c r="A307" s="8" t="s">
        <v>90</v>
      </c>
      <c r="B307" s="8" t="s">
        <v>91</v>
      </c>
      <c r="C307" s="7">
        <v>45322</v>
      </c>
      <c r="D307" s="8" t="s">
        <v>512</v>
      </c>
      <c r="E307" s="8" t="s">
        <v>549</v>
      </c>
      <c r="F307" s="8" t="s">
        <v>549</v>
      </c>
      <c r="G307" s="8" t="s">
        <v>550</v>
      </c>
      <c r="H307" s="9">
        <v>2547</v>
      </c>
      <c r="I307" s="9">
        <v>736.98</v>
      </c>
      <c r="L307" s="8" t="s">
        <v>93</v>
      </c>
      <c r="M307" s="8" t="s">
        <v>38</v>
      </c>
      <c r="N307" s="8" t="s">
        <v>56</v>
      </c>
      <c r="O307" s="8" t="s">
        <v>14</v>
      </c>
      <c r="P307" s="8" t="s">
        <v>57</v>
      </c>
      <c r="Q307" s="8" t="s">
        <v>549</v>
      </c>
      <c r="R307" s="8" t="s">
        <v>33</v>
      </c>
      <c r="S307" s="8" t="s">
        <v>530</v>
      </c>
      <c r="T307" s="8" t="s">
        <v>40</v>
      </c>
      <c r="U307" s="8" t="s">
        <v>32</v>
      </c>
      <c r="V307" s="8" t="s">
        <v>32</v>
      </c>
      <c r="W307" s="8" t="s">
        <v>33</v>
      </c>
      <c r="X307" s="8" t="s">
        <v>33</v>
      </c>
      <c r="Y307" s="8" t="s">
        <v>33</v>
      </c>
      <c r="Z307" s="8" t="s">
        <v>33</v>
      </c>
      <c r="AA307" s="8" t="s">
        <v>33</v>
      </c>
      <c r="AB307" s="8" t="s">
        <v>32</v>
      </c>
      <c r="AC307" s="8" t="s">
        <v>33</v>
      </c>
      <c r="AD307" s="8" t="s">
        <v>32</v>
      </c>
      <c r="AE307" s="8" t="s">
        <v>32</v>
      </c>
      <c r="AF307" s="4">
        <f t="shared" si="8"/>
        <v>2547</v>
      </c>
      <c r="AG307" s="4">
        <f t="shared" si="9"/>
        <v>736.98</v>
      </c>
      <c r="AH307" s="5" t="s">
        <v>185</v>
      </c>
      <c r="AI307" s="11" t="s">
        <v>218</v>
      </c>
      <c r="AJ307" s="11" t="s">
        <v>206</v>
      </c>
      <c r="AK307" s="11" t="s">
        <v>235</v>
      </c>
    </row>
    <row r="308" spans="1:37" x14ac:dyDescent="0.3">
      <c r="A308" s="8" t="s">
        <v>146</v>
      </c>
      <c r="B308" s="8" t="s">
        <v>147</v>
      </c>
      <c r="C308" s="7">
        <v>45322</v>
      </c>
      <c r="D308" s="8" t="s">
        <v>512</v>
      </c>
      <c r="E308" s="8" t="s">
        <v>549</v>
      </c>
      <c r="F308" s="8" t="s">
        <v>549</v>
      </c>
      <c r="G308" s="8" t="s">
        <v>550</v>
      </c>
      <c r="H308" s="9">
        <v>5203</v>
      </c>
      <c r="I308" s="9">
        <v>1505.5</v>
      </c>
      <c r="L308" s="8" t="s">
        <v>93</v>
      </c>
      <c r="M308" s="8" t="s">
        <v>43</v>
      </c>
      <c r="N308" s="8" t="s">
        <v>56</v>
      </c>
      <c r="O308" s="8" t="s">
        <v>14</v>
      </c>
      <c r="P308" s="8" t="s">
        <v>57</v>
      </c>
      <c r="Q308" s="8" t="s">
        <v>549</v>
      </c>
      <c r="R308" s="8" t="s">
        <v>33</v>
      </c>
      <c r="S308" s="8" t="s">
        <v>530</v>
      </c>
      <c r="T308" s="8" t="s">
        <v>40</v>
      </c>
      <c r="U308" s="8" t="s">
        <v>32</v>
      </c>
      <c r="V308" s="8" t="s">
        <v>32</v>
      </c>
      <c r="W308" s="8" t="s">
        <v>33</v>
      </c>
      <c r="X308" s="8" t="s">
        <v>33</v>
      </c>
      <c r="Y308" s="8" t="s">
        <v>33</v>
      </c>
      <c r="Z308" s="8" t="s">
        <v>33</v>
      </c>
      <c r="AA308" s="8" t="s">
        <v>33</v>
      </c>
      <c r="AB308" s="8" t="s">
        <v>32</v>
      </c>
      <c r="AC308" s="8" t="s">
        <v>33</v>
      </c>
      <c r="AD308" s="8" t="s">
        <v>32</v>
      </c>
      <c r="AE308" s="8" t="s">
        <v>32</v>
      </c>
      <c r="AF308" s="4">
        <f t="shared" si="8"/>
        <v>5203</v>
      </c>
      <c r="AG308" s="4">
        <f t="shared" si="9"/>
        <v>1505.5</v>
      </c>
      <c r="AH308" s="5" t="s">
        <v>185</v>
      </c>
      <c r="AI308" s="11" t="s">
        <v>214</v>
      </c>
      <c r="AJ308" s="11" t="s">
        <v>206</v>
      </c>
      <c r="AK308" s="11" t="s">
        <v>235</v>
      </c>
    </row>
    <row r="309" spans="1:37" x14ac:dyDescent="0.3">
      <c r="A309" s="8" t="s">
        <v>115</v>
      </c>
      <c r="B309" s="8" t="s">
        <v>116</v>
      </c>
      <c r="C309" s="7">
        <v>45322</v>
      </c>
      <c r="D309" s="8" t="s">
        <v>512</v>
      </c>
      <c r="E309" s="8" t="s">
        <v>549</v>
      </c>
      <c r="F309" s="8" t="s">
        <v>549</v>
      </c>
      <c r="G309" s="8" t="s">
        <v>550</v>
      </c>
      <c r="H309" s="9">
        <v>5666</v>
      </c>
      <c r="I309" s="9">
        <v>1639.47</v>
      </c>
      <c r="L309" s="8" t="s">
        <v>93</v>
      </c>
      <c r="M309" s="8" t="s">
        <v>45</v>
      </c>
      <c r="N309" s="8" t="s">
        <v>56</v>
      </c>
      <c r="O309" s="8" t="s">
        <v>14</v>
      </c>
      <c r="P309" s="8" t="s">
        <v>57</v>
      </c>
      <c r="Q309" s="8" t="s">
        <v>549</v>
      </c>
      <c r="R309" s="8" t="s">
        <v>33</v>
      </c>
      <c r="S309" s="8" t="s">
        <v>530</v>
      </c>
      <c r="T309" s="8" t="s">
        <v>40</v>
      </c>
      <c r="U309" s="8" t="s">
        <v>32</v>
      </c>
      <c r="V309" s="8" t="s">
        <v>32</v>
      </c>
      <c r="W309" s="8" t="s">
        <v>33</v>
      </c>
      <c r="X309" s="8" t="s">
        <v>33</v>
      </c>
      <c r="Y309" s="8" t="s">
        <v>33</v>
      </c>
      <c r="Z309" s="8" t="s">
        <v>33</v>
      </c>
      <c r="AA309" s="8" t="s">
        <v>33</v>
      </c>
      <c r="AB309" s="8" t="s">
        <v>32</v>
      </c>
      <c r="AC309" s="8" t="s">
        <v>33</v>
      </c>
      <c r="AD309" s="8" t="s">
        <v>32</v>
      </c>
      <c r="AE309" s="8" t="s">
        <v>32</v>
      </c>
      <c r="AF309" s="4">
        <f t="shared" si="8"/>
        <v>5666</v>
      </c>
      <c r="AG309" s="4">
        <f t="shared" si="9"/>
        <v>1639.47</v>
      </c>
      <c r="AH309" s="5" t="s">
        <v>185</v>
      </c>
      <c r="AI309" s="11" t="s">
        <v>214</v>
      </c>
      <c r="AJ309" s="11" t="s">
        <v>206</v>
      </c>
      <c r="AK309" s="11" t="s">
        <v>235</v>
      </c>
    </row>
    <row r="310" spans="1:37" x14ac:dyDescent="0.3">
      <c r="A310" s="8" t="s">
        <v>90</v>
      </c>
      <c r="B310" s="8" t="s">
        <v>91</v>
      </c>
      <c r="C310" s="7">
        <v>45322</v>
      </c>
      <c r="D310" s="8" t="s">
        <v>512</v>
      </c>
      <c r="E310" s="8" t="s">
        <v>549</v>
      </c>
      <c r="F310" s="8" t="s">
        <v>549</v>
      </c>
      <c r="G310" s="8" t="s">
        <v>550</v>
      </c>
      <c r="H310" s="9">
        <v>1198</v>
      </c>
      <c r="I310" s="9">
        <v>346.64</v>
      </c>
      <c r="L310" s="8" t="s">
        <v>93</v>
      </c>
      <c r="M310" s="8" t="s">
        <v>47</v>
      </c>
      <c r="N310" s="8" t="s">
        <v>56</v>
      </c>
      <c r="O310" s="8" t="s">
        <v>14</v>
      </c>
      <c r="P310" s="8" t="s">
        <v>57</v>
      </c>
      <c r="Q310" s="8" t="s">
        <v>549</v>
      </c>
      <c r="R310" s="8" t="s">
        <v>33</v>
      </c>
      <c r="S310" s="8" t="s">
        <v>530</v>
      </c>
      <c r="T310" s="8" t="s">
        <v>40</v>
      </c>
      <c r="U310" s="8" t="s">
        <v>32</v>
      </c>
      <c r="V310" s="8" t="s">
        <v>32</v>
      </c>
      <c r="W310" s="8" t="s">
        <v>33</v>
      </c>
      <c r="X310" s="8" t="s">
        <v>33</v>
      </c>
      <c r="Y310" s="8" t="s">
        <v>33</v>
      </c>
      <c r="Z310" s="8" t="s">
        <v>33</v>
      </c>
      <c r="AA310" s="8" t="s">
        <v>33</v>
      </c>
      <c r="AB310" s="8" t="s">
        <v>32</v>
      </c>
      <c r="AC310" s="8" t="s">
        <v>33</v>
      </c>
      <c r="AD310" s="8" t="s">
        <v>32</v>
      </c>
      <c r="AE310" s="8" t="s">
        <v>32</v>
      </c>
      <c r="AF310" s="4">
        <f t="shared" si="8"/>
        <v>1198</v>
      </c>
      <c r="AG310" s="4">
        <f t="shared" si="9"/>
        <v>346.64</v>
      </c>
      <c r="AH310" s="5" t="s">
        <v>185</v>
      </c>
      <c r="AI310" s="11" t="s">
        <v>218</v>
      </c>
      <c r="AJ310" s="11" t="s">
        <v>206</v>
      </c>
      <c r="AK310" s="11" t="s">
        <v>235</v>
      </c>
    </row>
    <row r="311" spans="1:37" x14ac:dyDescent="0.3">
      <c r="A311" s="8" t="s">
        <v>103</v>
      </c>
      <c r="B311" s="8" t="s">
        <v>104</v>
      </c>
      <c r="C311" s="7">
        <v>45322</v>
      </c>
      <c r="D311" s="8" t="s">
        <v>512</v>
      </c>
      <c r="E311" s="8" t="s">
        <v>549</v>
      </c>
      <c r="F311" s="8" t="s">
        <v>549</v>
      </c>
      <c r="G311" s="8" t="s">
        <v>550</v>
      </c>
      <c r="H311" s="9">
        <v>4202</v>
      </c>
      <c r="I311" s="9">
        <v>1215.8599999999999</v>
      </c>
      <c r="L311" s="8" t="s">
        <v>93</v>
      </c>
      <c r="M311" s="8" t="s">
        <v>49</v>
      </c>
      <c r="N311" s="8" t="s">
        <v>56</v>
      </c>
      <c r="O311" s="8" t="s">
        <v>14</v>
      </c>
      <c r="P311" s="8" t="s">
        <v>57</v>
      </c>
      <c r="Q311" s="8" t="s">
        <v>549</v>
      </c>
      <c r="R311" s="8" t="s">
        <v>33</v>
      </c>
      <c r="S311" s="8" t="s">
        <v>530</v>
      </c>
      <c r="T311" s="8" t="s">
        <v>40</v>
      </c>
      <c r="U311" s="8" t="s">
        <v>32</v>
      </c>
      <c r="V311" s="8" t="s">
        <v>32</v>
      </c>
      <c r="W311" s="8" t="s">
        <v>33</v>
      </c>
      <c r="X311" s="8" t="s">
        <v>33</v>
      </c>
      <c r="Y311" s="8" t="s">
        <v>33</v>
      </c>
      <c r="Z311" s="8" t="s">
        <v>33</v>
      </c>
      <c r="AA311" s="8" t="s">
        <v>33</v>
      </c>
      <c r="AB311" s="8" t="s">
        <v>32</v>
      </c>
      <c r="AC311" s="8" t="s">
        <v>33</v>
      </c>
      <c r="AD311" s="8" t="s">
        <v>32</v>
      </c>
      <c r="AE311" s="8" t="s">
        <v>32</v>
      </c>
      <c r="AF311" s="4">
        <f t="shared" si="8"/>
        <v>4202</v>
      </c>
      <c r="AG311" s="4">
        <f t="shared" si="9"/>
        <v>1215.8599999999999</v>
      </c>
      <c r="AH311" s="5" t="s">
        <v>185</v>
      </c>
      <c r="AI311" s="11" t="s">
        <v>232</v>
      </c>
      <c r="AJ311" s="11" t="s">
        <v>206</v>
      </c>
      <c r="AK311" s="11" t="s">
        <v>235</v>
      </c>
    </row>
    <row r="312" spans="1:37" x14ac:dyDescent="0.3">
      <c r="A312" s="8" t="s">
        <v>90</v>
      </c>
      <c r="B312" s="8" t="s">
        <v>91</v>
      </c>
      <c r="C312" s="7">
        <v>45322</v>
      </c>
      <c r="D312" s="8" t="s">
        <v>512</v>
      </c>
      <c r="E312" s="8" t="s">
        <v>549</v>
      </c>
      <c r="F312" s="8" t="s">
        <v>549</v>
      </c>
      <c r="G312" s="8" t="s">
        <v>550</v>
      </c>
      <c r="H312" s="9">
        <v>5901</v>
      </c>
      <c r="I312" s="9">
        <v>1707.47</v>
      </c>
      <c r="L312" s="8" t="s">
        <v>93</v>
      </c>
      <c r="M312" s="8" t="s">
        <v>51</v>
      </c>
      <c r="N312" s="8" t="s">
        <v>56</v>
      </c>
      <c r="O312" s="8" t="s">
        <v>14</v>
      </c>
      <c r="P312" s="8" t="s">
        <v>57</v>
      </c>
      <c r="Q312" s="8" t="s">
        <v>549</v>
      </c>
      <c r="R312" s="8" t="s">
        <v>33</v>
      </c>
      <c r="S312" s="8" t="s">
        <v>530</v>
      </c>
      <c r="T312" s="8" t="s">
        <v>40</v>
      </c>
      <c r="U312" s="8" t="s">
        <v>32</v>
      </c>
      <c r="V312" s="8" t="s">
        <v>32</v>
      </c>
      <c r="W312" s="8" t="s">
        <v>33</v>
      </c>
      <c r="X312" s="8" t="s">
        <v>33</v>
      </c>
      <c r="Y312" s="8" t="s">
        <v>33</v>
      </c>
      <c r="Z312" s="8" t="s">
        <v>33</v>
      </c>
      <c r="AA312" s="8" t="s">
        <v>33</v>
      </c>
      <c r="AB312" s="8" t="s">
        <v>32</v>
      </c>
      <c r="AC312" s="8" t="s">
        <v>33</v>
      </c>
      <c r="AD312" s="8" t="s">
        <v>32</v>
      </c>
      <c r="AE312" s="8" t="s">
        <v>32</v>
      </c>
      <c r="AF312" s="4">
        <f t="shared" si="8"/>
        <v>5901</v>
      </c>
      <c r="AG312" s="4">
        <f t="shared" si="9"/>
        <v>1707.47</v>
      </c>
      <c r="AH312" s="5" t="s">
        <v>185</v>
      </c>
      <c r="AI312" s="11" t="s">
        <v>218</v>
      </c>
      <c r="AJ312" s="11" t="s">
        <v>206</v>
      </c>
      <c r="AK312" s="11" t="s">
        <v>235</v>
      </c>
    </row>
    <row r="313" spans="1:37" x14ac:dyDescent="0.3">
      <c r="A313" s="8" t="s">
        <v>115</v>
      </c>
      <c r="B313" s="8" t="s">
        <v>116</v>
      </c>
      <c r="C313" s="7">
        <v>45322</v>
      </c>
      <c r="D313" s="8" t="s">
        <v>512</v>
      </c>
      <c r="E313" s="8" t="s">
        <v>549</v>
      </c>
      <c r="F313" s="8" t="s">
        <v>549</v>
      </c>
      <c r="G313" s="8" t="s">
        <v>550</v>
      </c>
      <c r="H313" s="9">
        <v>5603</v>
      </c>
      <c r="I313" s="9">
        <v>1621.24</v>
      </c>
      <c r="L313" s="8" t="s">
        <v>93</v>
      </c>
      <c r="M313" s="8" t="s">
        <v>58</v>
      </c>
      <c r="N313" s="8" t="s">
        <v>56</v>
      </c>
      <c r="O313" s="8" t="s">
        <v>14</v>
      </c>
      <c r="P313" s="8" t="s">
        <v>57</v>
      </c>
      <c r="Q313" s="8" t="s">
        <v>549</v>
      </c>
      <c r="R313" s="8" t="s">
        <v>33</v>
      </c>
      <c r="S313" s="8" t="s">
        <v>530</v>
      </c>
      <c r="T313" s="8" t="s">
        <v>40</v>
      </c>
      <c r="U313" s="8" t="s">
        <v>32</v>
      </c>
      <c r="V313" s="8" t="s">
        <v>32</v>
      </c>
      <c r="W313" s="8" t="s">
        <v>33</v>
      </c>
      <c r="X313" s="8" t="s">
        <v>33</v>
      </c>
      <c r="Y313" s="8" t="s">
        <v>33</v>
      </c>
      <c r="Z313" s="8" t="s">
        <v>33</v>
      </c>
      <c r="AA313" s="8" t="s">
        <v>33</v>
      </c>
      <c r="AB313" s="8" t="s">
        <v>32</v>
      </c>
      <c r="AC313" s="8" t="s">
        <v>33</v>
      </c>
      <c r="AD313" s="8" t="s">
        <v>32</v>
      </c>
      <c r="AE313" s="8" t="s">
        <v>32</v>
      </c>
      <c r="AF313" s="4">
        <f t="shared" si="8"/>
        <v>5603</v>
      </c>
      <c r="AG313" s="4">
        <f t="shared" si="9"/>
        <v>1621.24</v>
      </c>
      <c r="AH313" s="5" t="s">
        <v>185</v>
      </c>
      <c r="AI313" s="11" t="s">
        <v>214</v>
      </c>
      <c r="AJ313" s="11" t="s">
        <v>206</v>
      </c>
      <c r="AK313" s="11" t="s">
        <v>235</v>
      </c>
    </row>
    <row r="314" spans="1:37" x14ac:dyDescent="0.3">
      <c r="A314" s="8" t="s">
        <v>117</v>
      </c>
      <c r="B314" s="8" t="s">
        <v>118</v>
      </c>
      <c r="C314" s="7">
        <v>45322</v>
      </c>
      <c r="D314" s="8" t="s">
        <v>512</v>
      </c>
      <c r="E314" s="8" t="s">
        <v>549</v>
      </c>
      <c r="F314" s="8" t="s">
        <v>549</v>
      </c>
      <c r="G314" s="8" t="s">
        <v>550</v>
      </c>
      <c r="H314" s="9">
        <v>7696</v>
      </c>
      <c r="I314" s="9">
        <v>2226.85</v>
      </c>
      <c r="L314" s="8" t="s">
        <v>93</v>
      </c>
      <c r="M314" s="8" t="s">
        <v>54</v>
      </c>
      <c r="N314" s="8" t="s">
        <v>56</v>
      </c>
      <c r="O314" s="8" t="s">
        <v>14</v>
      </c>
      <c r="P314" s="8" t="s">
        <v>57</v>
      </c>
      <c r="Q314" s="8" t="s">
        <v>549</v>
      </c>
      <c r="R314" s="8" t="s">
        <v>33</v>
      </c>
      <c r="S314" s="8" t="s">
        <v>530</v>
      </c>
      <c r="T314" s="8" t="s">
        <v>40</v>
      </c>
      <c r="U314" s="8" t="s">
        <v>32</v>
      </c>
      <c r="V314" s="8" t="s">
        <v>32</v>
      </c>
      <c r="W314" s="8" t="s">
        <v>33</v>
      </c>
      <c r="X314" s="8" t="s">
        <v>33</v>
      </c>
      <c r="Y314" s="8" t="s">
        <v>33</v>
      </c>
      <c r="Z314" s="8" t="s">
        <v>33</v>
      </c>
      <c r="AA314" s="8" t="s">
        <v>33</v>
      </c>
      <c r="AB314" s="8" t="s">
        <v>32</v>
      </c>
      <c r="AC314" s="8" t="s">
        <v>33</v>
      </c>
      <c r="AD314" s="8" t="s">
        <v>32</v>
      </c>
      <c r="AE314" s="8" t="s">
        <v>32</v>
      </c>
      <c r="AF314" s="4">
        <f t="shared" si="8"/>
        <v>7696</v>
      </c>
      <c r="AG314" s="4">
        <f t="shared" si="9"/>
        <v>2226.85</v>
      </c>
      <c r="AH314" s="5" t="s">
        <v>185</v>
      </c>
      <c r="AI314" s="11" t="s">
        <v>214</v>
      </c>
      <c r="AJ314" s="11" t="s">
        <v>206</v>
      </c>
      <c r="AK314" s="11" t="s">
        <v>235</v>
      </c>
    </row>
    <row r="315" spans="1:37" x14ac:dyDescent="0.3">
      <c r="A315" s="8" t="s">
        <v>148</v>
      </c>
      <c r="B315" s="8" t="s">
        <v>149</v>
      </c>
      <c r="C315" s="7">
        <v>45322</v>
      </c>
      <c r="D315" s="8" t="s">
        <v>513</v>
      </c>
      <c r="E315" s="8" t="s">
        <v>549</v>
      </c>
      <c r="F315" s="8" t="s">
        <v>549</v>
      </c>
      <c r="G315" s="8" t="s">
        <v>550</v>
      </c>
      <c r="H315" s="9">
        <v>8899</v>
      </c>
      <c r="I315" s="9">
        <v>2574.94</v>
      </c>
      <c r="L315" s="8" t="s">
        <v>77</v>
      </c>
      <c r="M315" s="8" t="s">
        <v>28</v>
      </c>
      <c r="N315" s="8" t="s">
        <v>56</v>
      </c>
      <c r="O315" s="8" t="s">
        <v>14</v>
      </c>
      <c r="P315" s="8" t="s">
        <v>57</v>
      </c>
      <c r="Q315" s="8" t="s">
        <v>549</v>
      </c>
      <c r="R315" s="8" t="s">
        <v>33</v>
      </c>
      <c r="S315" s="8" t="s">
        <v>530</v>
      </c>
      <c r="T315" s="8" t="s">
        <v>40</v>
      </c>
      <c r="U315" s="8" t="s">
        <v>32</v>
      </c>
      <c r="V315" s="8" t="s">
        <v>32</v>
      </c>
      <c r="W315" s="8" t="s">
        <v>33</v>
      </c>
      <c r="X315" s="8" t="s">
        <v>33</v>
      </c>
      <c r="Y315" s="8" t="s">
        <v>33</v>
      </c>
      <c r="Z315" s="8" t="s">
        <v>33</v>
      </c>
      <c r="AA315" s="8" t="s">
        <v>33</v>
      </c>
      <c r="AB315" s="8" t="s">
        <v>32</v>
      </c>
      <c r="AC315" s="8" t="s">
        <v>33</v>
      </c>
      <c r="AD315" s="8" t="s">
        <v>32</v>
      </c>
      <c r="AE315" s="8" t="s">
        <v>32</v>
      </c>
      <c r="AF315" s="4">
        <f t="shared" si="8"/>
        <v>8899</v>
      </c>
      <c r="AG315" s="4">
        <f t="shared" si="9"/>
        <v>2574.94</v>
      </c>
      <c r="AH315" s="5" t="s">
        <v>185</v>
      </c>
      <c r="AI315" s="11" t="s">
        <v>228</v>
      </c>
      <c r="AJ315" s="11" t="s">
        <v>211</v>
      </c>
      <c r="AK315" s="11" t="s">
        <v>235</v>
      </c>
    </row>
    <row r="316" spans="1:37" x14ac:dyDescent="0.3">
      <c r="A316" s="8" t="s">
        <v>148</v>
      </c>
      <c r="B316" s="8" t="s">
        <v>149</v>
      </c>
      <c r="C316" s="7">
        <v>45322</v>
      </c>
      <c r="D316" s="8" t="s">
        <v>513</v>
      </c>
      <c r="E316" s="8" t="s">
        <v>549</v>
      </c>
      <c r="F316" s="8" t="s">
        <v>549</v>
      </c>
      <c r="G316" s="8" t="s">
        <v>550</v>
      </c>
      <c r="H316" s="9">
        <v>7328</v>
      </c>
      <c r="I316" s="9">
        <v>2120.37</v>
      </c>
      <c r="L316" s="8" t="s">
        <v>77</v>
      </c>
      <c r="M316" s="8" t="s">
        <v>34</v>
      </c>
      <c r="N316" s="8" t="s">
        <v>56</v>
      </c>
      <c r="O316" s="8" t="s">
        <v>14</v>
      </c>
      <c r="P316" s="8" t="s">
        <v>57</v>
      </c>
      <c r="Q316" s="8" t="s">
        <v>549</v>
      </c>
      <c r="R316" s="8" t="s">
        <v>33</v>
      </c>
      <c r="S316" s="8" t="s">
        <v>530</v>
      </c>
      <c r="T316" s="8" t="s">
        <v>40</v>
      </c>
      <c r="U316" s="8" t="s">
        <v>32</v>
      </c>
      <c r="V316" s="8" t="s">
        <v>32</v>
      </c>
      <c r="W316" s="8" t="s">
        <v>33</v>
      </c>
      <c r="X316" s="8" t="s">
        <v>33</v>
      </c>
      <c r="Y316" s="8" t="s">
        <v>33</v>
      </c>
      <c r="Z316" s="8" t="s">
        <v>33</v>
      </c>
      <c r="AA316" s="8" t="s">
        <v>33</v>
      </c>
      <c r="AB316" s="8" t="s">
        <v>32</v>
      </c>
      <c r="AC316" s="8" t="s">
        <v>33</v>
      </c>
      <c r="AD316" s="8" t="s">
        <v>32</v>
      </c>
      <c r="AE316" s="8" t="s">
        <v>32</v>
      </c>
      <c r="AF316" s="4">
        <f t="shared" si="8"/>
        <v>7328</v>
      </c>
      <c r="AG316" s="4">
        <f t="shared" si="9"/>
        <v>2120.37</v>
      </c>
      <c r="AH316" s="5" t="s">
        <v>185</v>
      </c>
      <c r="AI316" s="11" t="s">
        <v>228</v>
      </c>
      <c r="AJ316" s="11" t="s">
        <v>211</v>
      </c>
      <c r="AK316" s="11" t="s">
        <v>235</v>
      </c>
    </row>
    <row r="317" spans="1:37" x14ac:dyDescent="0.3">
      <c r="A317" s="8" t="s">
        <v>121</v>
      </c>
      <c r="B317" s="8" t="s">
        <v>122</v>
      </c>
      <c r="C317" s="7">
        <v>45322</v>
      </c>
      <c r="D317" s="8" t="s">
        <v>513</v>
      </c>
      <c r="E317" s="8" t="s">
        <v>549</v>
      </c>
      <c r="F317" s="8" t="s">
        <v>549</v>
      </c>
      <c r="G317" s="8" t="s">
        <v>550</v>
      </c>
      <c r="H317" s="9">
        <v>3306</v>
      </c>
      <c r="I317" s="9">
        <v>956.6</v>
      </c>
      <c r="L317" s="8" t="s">
        <v>77</v>
      </c>
      <c r="M317" s="8" t="s">
        <v>38</v>
      </c>
      <c r="N317" s="8" t="s">
        <v>56</v>
      </c>
      <c r="O317" s="8" t="s">
        <v>14</v>
      </c>
      <c r="P317" s="8" t="s">
        <v>57</v>
      </c>
      <c r="Q317" s="8" t="s">
        <v>549</v>
      </c>
      <c r="R317" s="8" t="s">
        <v>33</v>
      </c>
      <c r="S317" s="8" t="s">
        <v>530</v>
      </c>
      <c r="T317" s="8" t="s">
        <v>40</v>
      </c>
      <c r="U317" s="8" t="s">
        <v>32</v>
      </c>
      <c r="V317" s="8" t="s">
        <v>32</v>
      </c>
      <c r="W317" s="8" t="s">
        <v>33</v>
      </c>
      <c r="X317" s="8" t="s">
        <v>33</v>
      </c>
      <c r="Y317" s="8" t="s">
        <v>33</v>
      </c>
      <c r="Z317" s="8" t="s">
        <v>33</v>
      </c>
      <c r="AA317" s="8" t="s">
        <v>33</v>
      </c>
      <c r="AB317" s="8" t="s">
        <v>32</v>
      </c>
      <c r="AC317" s="8" t="s">
        <v>33</v>
      </c>
      <c r="AD317" s="8" t="s">
        <v>32</v>
      </c>
      <c r="AE317" s="8" t="s">
        <v>32</v>
      </c>
      <c r="AF317" s="4">
        <f t="shared" si="8"/>
        <v>3306</v>
      </c>
      <c r="AG317" s="4">
        <f t="shared" si="9"/>
        <v>956.6</v>
      </c>
      <c r="AH317" s="5" t="s">
        <v>185</v>
      </c>
      <c r="AI317" s="11" t="s">
        <v>228</v>
      </c>
      <c r="AJ317" s="11" t="s">
        <v>211</v>
      </c>
      <c r="AK317" s="11" t="s">
        <v>235</v>
      </c>
    </row>
    <row r="318" spans="1:37" x14ac:dyDescent="0.3">
      <c r="A318" s="8" t="s">
        <v>96</v>
      </c>
      <c r="B318" s="8" t="s">
        <v>97</v>
      </c>
      <c r="C318" s="7">
        <v>45322</v>
      </c>
      <c r="D318" s="8" t="s">
        <v>513</v>
      </c>
      <c r="E318" s="8" t="s">
        <v>549</v>
      </c>
      <c r="F318" s="8" t="s">
        <v>549</v>
      </c>
      <c r="G318" s="8" t="s">
        <v>550</v>
      </c>
      <c r="H318" s="9">
        <v>3484</v>
      </c>
      <c r="I318" s="9">
        <v>1008.1</v>
      </c>
      <c r="L318" s="8" t="s">
        <v>92</v>
      </c>
      <c r="M318" s="8" t="s">
        <v>39</v>
      </c>
      <c r="N318" s="8" t="s">
        <v>56</v>
      </c>
      <c r="O318" s="8" t="s">
        <v>14</v>
      </c>
      <c r="P318" s="8" t="s">
        <v>57</v>
      </c>
      <c r="Q318" s="8" t="s">
        <v>549</v>
      </c>
      <c r="R318" s="8" t="s">
        <v>33</v>
      </c>
      <c r="S318" s="8" t="s">
        <v>530</v>
      </c>
      <c r="T318" s="8" t="s">
        <v>40</v>
      </c>
      <c r="U318" s="8" t="s">
        <v>32</v>
      </c>
      <c r="V318" s="8" t="s">
        <v>32</v>
      </c>
      <c r="W318" s="8" t="s">
        <v>33</v>
      </c>
      <c r="X318" s="8" t="s">
        <v>33</v>
      </c>
      <c r="Y318" s="8" t="s">
        <v>33</v>
      </c>
      <c r="Z318" s="8" t="s">
        <v>33</v>
      </c>
      <c r="AA318" s="8" t="s">
        <v>33</v>
      </c>
      <c r="AB318" s="8" t="s">
        <v>32</v>
      </c>
      <c r="AC318" s="8" t="s">
        <v>33</v>
      </c>
      <c r="AD318" s="8" t="s">
        <v>32</v>
      </c>
      <c r="AE318" s="8" t="s">
        <v>32</v>
      </c>
      <c r="AF318" s="4">
        <f t="shared" si="8"/>
        <v>3484</v>
      </c>
      <c r="AG318" s="4">
        <f t="shared" si="9"/>
        <v>1008.1</v>
      </c>
      <c r="AH318" s="5" t="s">
        <v>185</v>
      </c>
      <c r="AI318" s="11" t="s">
        <v>221</v>
      </c>
      <c r="AJ318" s="11" t="s">
        <v>207</v>
      </c>
      <c r="AK318" s="11" t="s">
        <v>235</v>
      </c>
    </row>
    <row r="319" spans="1:37" x14ac:dyDescent="0.3">
      <c r="A319" s="8" t="s">
        <v>96</v>
      </c>
      <c r="B319" s="8" t="s">
        <v>97</v>
      </c>
      <c r="C319" s="7">
        <v>45322</v>
      </c>
      <c r="D319" s="8" t="s">
        <v>513</v>
      </c>
      <c r="E319" s="8" t="s">
        <v>549</v>
      </c>
      <c r="F319" s="8" t="s">
        <v>549</v>
      </c>
      <c r="G319" s="8" t="s">
        <v>550</v>
      </c>
      <c r="H319" s="9">
        <v>6599</v>
      </c>
      <c r="I319" s="9">
        <v>1909.43</v>
      </c>
      <c r="L319" s="8" t="s">
        <v>106</v>
      </c>
      <c r="M319" s="8" t="s">
        <v>43</v>
      </c>
      <c r="N319" s="8" t="s">
        <v>56</v>
      </c>
      <c r="O319" s="8" t="s">
        <v>14</v>
      </c>
      <c r="P319" s="8" t="s">
        <v>57</v>
      </c>
      <c r="Q319" s="8" t="s">
        <v>549</v>
      </c>
      <c r="R319" s="8" t="s">
        <v>33</v>
      </c>
      <c r="S319" s="8" t="s">
        <v>530</v>
      </c>
      <c r="T319" s="8" t="s">
        <v>40</v>
      </c>
      <c r="U319" s="8" t="s">
        <v>32</v>
      </c>
      <c r="V319" s="8" t="s">
        <v>32</v>
      </c>
      <c r="W319" s="8" t="s">
        <v>33</v>
      </c>
      <c r="X319" s="8" t="s">
        <v>33</v>
      </c>
      <c r="Y319" s="8" t="s">
        <v>33</v>
      </c>
      <c r="Z319" s="8" t="s">
        <v>33</v>
      </c>
      <c r="AA319" s="8" t="s">
        <v>33</v>
      </c>
      <c r="AB319" s="8" t="s">
        <v>32</v>
      </c>
      <c r="AC319" s="8" t="s">
        <v>33</v>
      </c>
      <c r="AD319" s="8" t="s">
        <v>32</v>
      </c>
      <c r="AE319" s="8" t="s">
        <v>32</v>
      </c>
      <c r="AF319" s="4">
        <f t="shared" si="8"/>
        <v>6599</v>
      </c>
      <c r="AG319" s="4">
        <f t="shared" si="9"/>
        <v>1909.43</v>
      </c>
      <c r="AH319" s="5" t="s">
        <v>185</v>
      </c>
      <c r="AI319" s="11" t="s">
        <v>221</v>
      </c>
      <c r="AJ319" s="11" t="s">
        <v>210</v>
      </c>
      <c r="AK319" s="11" t="s">
        <v>235</v>
      </c>
    </row>
    <row r="320" spans="1:37" x14ac:dyDescent="0.3">
      <c r="A320" s="8" t="s">
        <v>96</v>
      </c>
      <c r="B320" s="8" t="s">
        <v>97</v>
      </c>
      <c r="C320" s="7">
        <v>45322</v>
      </c>
      <c r="D320" s="8" t="s">
        <v>513</v>
      </c>
      <c r="E320" s="8" t="s">
        <v>549</v>
      </c>
      <c r="F320" s="8" t="s">
        <v>549</v>
      </c>
      <c r="G320" s="8" t="s">
        <v>550</v>
      </c>
      <c r="H320" s="9">
        <v>7628</v>
      </c>
      <c r="I320" s="9">
        <v>2207.1799999999998</v>
      </c>
      <c r="L320" s="8" t="s">
        <v>77</v>
      </c>
      <c r="M320" s="8" t="s">
        <v>44</v>
      </c>
      <c r="N320" s="8" t="s">
        <v>56</v>
      </c>
      <c r="O320" s="8" t="s">
        <v>14</v>
      </c>
      <c r="P320" s="8" t="s">
        <v>57</v>
      </c>
      <c r="Q320" s="8" t="s">
        <v>549</v>
      </c>
      <c r="R320" s="8" t="s">
        <v>33</v>
      </c>
      <c r="S320" s="8" t="s">
        <v>530</v>
      </c>
      <c r="T320" s="8" t="s">
        <v>40</v>
      </c>
      <c r="U320" s="8" t="s">
        <v>32</v>
      </c>
      <c r="V320" s="8" t="s">
        <v>32</v>
      </c>
      <c r="W320" s="8" t="s">
        <v>33</v>
      </c>
      <c r="X320" s="8" t="s">
        <v>33</v>
      </c>
      <c r="Y320" s="8" t="s">
        <v>33</v>
      </c>
      <c r="Z320" s="8" t="s">
        <v>33</v>
      </c>
      <c r="AA320" s="8" t="s">
        <v>33</v>
      </c>
      <c r="AB320" s="8" t="s">
        <v>32</v>
      </c>
      <c r="AC320" s="8" t="s">
        <v>33</v>
      </c>
      <c r="AD320" s="8" t="s">
        <v>32</v>
      </c>
      <c r="AE320" s="8" t="s">
        <v>32</v>
      </c>
      <c r="AF320" s="4">
        <f t="shared" si="8"/>
        <v>7628</v>
      </c>
      <c r="AG320" s="4">
        <f t="shared" si="9"/>
        <v>2207.1799999999998</v>
      </c>
      <c r="AH320" s="5" t="s">
        <v>185</v>
      </c>
      <c r="AI320" s="11" t="s">
        <v>221</v>
      </c>
      <c r="AJ320" s="11" t="s">
        <v>211</v>
      </c>
      <c r="AK320" s="11" t="s">
        <v>235</v>
      </c>
    </row>
    <row r="321" spans="1:37" x14ac:dyDescent="0.3">
      <c r="A321" s="8" t="s">
        <v>96</v>
      </c>
      <c r="B321" s="8" t="s">
        <v>97</v>
      </c>
      <c r="C321" s="7">
        <v>45322</v>
      </c>
      <c r="D321" s="8" t="s">
        <v>513</v>
      </c>
      <c r="E321" s="8" t="s">
        <v>549</v>
      </c>
      <c r="F321" s="8" t="s">
        <v>549</v>
      </c>
      <c r="G321" s="8" t="s">
        <v>550</v>
      </c>
      <c r="H321" s="9">
        <v>4169</v>
      </c>
      <c r="I321" s="9">
        <v>1206.31</v>
      </c>
      <c r="L321" s="8" t="s">
        <v>93</v>
      </c>
      <c r="M321" s="8" t="s">
        <v>45</v>
      </c>
      <c r="N321" s="8" t="s">
        <v>56</v>
      </c>
      <c r="O321" s="8" t="s">
        <v>14</v>
      </c>
      <c r="P321" s="8" t="s">
        <v>57</v>
      </c>
      <c r="Q321" s="8" t="s">
        <v>549</v>
      </c>
      <c r="R321" s="8" t="s">
        <v>33</v>
      </c>
      <c r="S321" s="8" t="s">
        <v>530</v>
      </c>
      <c r="T321" s="8" t="s">
        <v>40</v>
      </c>
      <c r="U321" s="8" t="s">
        <v>32</v>
      </c>
      <c r="V321" s="8" t="s">
        <v>32</v>
      </c>
      <c r="W321" s="8" t="s">
        <v>33</v>
      </c>
      <c r="X321" s="8" t="s">
        <v>33</v>
      </c>
      <c r="Y321" s="8" t="s">
        <v>33</v>
      </c>
      <c r="Z321" s="8" t="s">
        <v>33</v>
      </c>
      <c r="AA321" s="8" t="s">
        <v>33</v>
      </c>
      <c r="AB321" s="8" t="s">
        <v>32</v>
      </c>
      <c r="AC321" s="8" t="s">
        <v>33</v>
      </c>
      <c r="AD321" s="8" t="s">
        <v>32</v>
      </c>
      <c r="AE321" s="8" t="s">
        <v>32</v>
      </c>
      <c r="AF321" s="4">
        <f t="shared" si="8"/>
        <v>4169</v>
      </c>
      <c r="AG321" s="4">
        <f t="shared" si="9"/>
        <v>1206.31</v>
      </c>
      <c r="AH321" s="5" t="s">
        <v>185</v>
      </c>
      <c r="AI321" s="11" t="s">
        <v>221</v>
      </c>
      <c r="AJ321" s="11" t="s">
        <v>206</v>
      </c>
      <c r="AK321" s="11" t="s">
        <v>235</v>
      </c>
    </row>
    <row r="322" spans="1:37" x14ac:dyDescent="0.3">
      <c r="A322" s="8" t="s">
        <v>96</v>
      </c>
      <c r="B322" s="8" t="s">
        <v>97</v>
      </c>
      <c r="C322" s="7">
        <v>45322</v>
      </c>
      <c r="D322" s="8" t="s">
        <v>513</v>
      </c>
      <c r="E322" s="8" t="s">
        <v>549</v>
      </c>
      <c r="F322" s="8" t="s">
        <v>549</v>
      </c>
      <c r="G322" s="8" t="s">
        <v>550</v>
      </c>
      <c r="H322" s="9">
        <v>2261</v>
      </c>
      <c r="I322" s="9">
        <v>654.22</v>
      </c>
      <c r="L322" s="8" t="s">
        <v>105</v>
      </c>
      <c r="M322" s="8" t="s">
        <v>46</v>
      </c>
      <c r="N322" s="8" t="s">
        <v>56</v>
      </c>
      <c r="O322" s="8" t="s">
        <v>14</v>
      </c>
      <c r="P322" s="8" t="s">
        <v>57</v>
      </c>
      <c r="Q322" s="8" t="s">
        <v>549</v>
      </c>
      <c r="R322" s="8" t="s">
        <v>33</v>
      </c>
      <c r="S322" s="8" t="s">
        <v>530</v>
      </c>
      <c r="T322" s="8" t="s">
        <v>40</v>
      </c>
      <c r="U322" s="8" t="s">
        <v>32</v>
      </c>
      <c r="V322" s="8" t="s">
        <v>32</v>
      </c>
      <c r="W322" s="8" t="s">
        <v>33</v>
      </c>
      <c r="X322" s="8" t="s">
        <v>33</v>
      </c>
      <c r="Y322" s="8" t="s">
        <v>33</v>
      </c>
      <c r="Z322" s="8" t="s">
        <v>33</v>
      </c>
      <c r="AA322" s="8" t="s">
        <v>33</v>
      </c>
      <c r="AB322" s="8" t="s">
        <v>32</v>
      </c>
      <c r="AC322" s="8" t="s">
        <v>33</v>
      </c>
      <c r="AD322" s="8" t="s">
        <v>32</v>
      </c>
      <c r="AE322" s="8" t="s">
        <v>32</v>
      </c>
      <c r="AF322" s="4">
        <f t="shared" ref="AF322:AF383" si="10">+H322-J322</f>
        <v>2261</v>
      </c>
      <c r="AG322" s="4">
        <f t="shared" ref="AG322:AG383" si="11">+I322-K322</f>
        <v>654.22</v>
      </c>
      <c r="AH322" s="5" t="s">
        <v>185</v>
      </c>
      <c r="AI322" s="11" t="s">
        <v>221</v>
      </c>
      <c r="AJ322" s="11" t="s">
        <v>209</v>
      </c>
      <c r="AK322" s="11" t="s">
        <v>235</v>
      </c>
    </row>
    <row r="323" spans="1:37" x14ac:dyDescent="0.3">
      <c r="A323" s="8" t="s">
        <v>96</v>
      </c>
      <c r="B323" s="8" t="s">
        <v>97</v>
      </c>
      <c r="C323" s="7">
        <v>45322</v>
      </c>
      <c r="D323" s="8" t="s">
        <v>513</v>
      </c>
      <c r="E323" s="8" t="s">
        <v>549</v>
      </c>
      <c r="F323" s="8" t="s">
        <v>549</v>
      </c>
      <c r="G323" s="8" t="s">
        <v>550</v>
      </c>
      <c r="H323" s="9">
        <v>5481</v>
      </c>
      <c r="I323" s="9">
        <v>1585.94</v>
      </c>
      <c r="L323" s="8" t="s">
        <v>100</v>
      </c>
      <c r="M323" s="8" t="s">
        <v>47</v>
      </c>
      <c r="N323" s="8" t="s">
        <v>56</v>
      </c>
      <c r="O323" s="8" t="s">
        <v>14</v>
      </c>
      <c r="P323" s="8" t="s">
        <v>57</v>
      </c>
      <c r="Q323" s="8" t="s">
        <v>549</v>
      </c>
      <c r="R323" s="8" t="s">
        <v>33</v>
      </c>
      <c r="S323" s="8" t="s">
        <v>530</v>
      </c>
      <c r="T323" s="8" t="s">
        <v>40</v>
      </c>
      <c r="U323" s="8" t="s">
        <v>32</v>
      </c>
      <c r="V323" s="8" t="s">
        <v>32</v>
      </c>
      <c r="W323" s="8" t="s">
        <v>33</v>
      </c>
      <c r="X323" s="8" t="s">
        <v>33</v>
      </c>
      <c r="Y323" s="8" t="s">
        <v>33</v>
      </c>
      <c r="Z323" s="8" t="s">
        <v>33</v>
      </c>
      <c r="AA323" s="8" t="s">
        <v>33</v>
      </c>
      <c r="AB323" s="8" t="s">
        <v>32</v>
      </c>
      <c r="AC323" s="8" t="s">
        <v>33</v>
      </c>
      <c r="AD323" s="8" t="s">
        <v>32</v>
      </c>
      <c r="AE323" s="8" t="s">
        <v>32</v>
      </c>
      <c r="AF323" s="4">
        <f t="shared" si="10"/>
        <v>5481</v>
      </c>
      <c r="AG323" s="4">
        <f t="shared" si="11"/>
        <v>1585.94</v>
      </c>
      <c r="AH323" s="5" t="s">
        <v>185</v>
      </c>
      <c r="AI323" s="11" t="s">
        <v>221</v>
      </c>
      <c r="AJ323" s="11" t="s">
        <v>212</v>
      </c>
      <c r="AK323" s="11" t="s">
        <v>235</v>
      </c>
    </row>
    <row r="324" spans="1:37" x14ac:dyDescent="0.3">
      <c r="A324" s="8" t="s">
        <v>96</v>
      </c>
      <c r="B324" s="8" t="s">
        <v>97</v>
      </c>
      <c r="C324" s="7">
        <v>45322</v>
      </c>
      <c r="D324" s="8" t="s">
        <v>513</v>
      </c>
      <c r="E324" s="8" t="s">
        <v>549</v>
      </c>
      <c r="F324" s="8" t="s">
        <v>549</v>
      </c>
      <c r="G324" s="8" t="s">
        <v>550</v>
      </c>
      <c r="H324" s="9">
        <v>5480</v>
      </c>
      <c r="I324" s="9">
        <v>1585.65</v>
      </c>
      <c r="L324" s="8" t="s">
        <v>193</v>
      </c>
      <c r="M324" s="8" t="s">
        <v>48</v>
      </c>
      <c r="N324" s="8" t="s">
        <v>56</v>
      </c>
      <c r="O324" s="8" t="s">
        <v>14</v>
      </c>
      <c r="P324" s="8" t="s">
        <v>57</v>
      </c>
      <c r="Q324" s="8" t="s">
        <v>549</v>
      </c>
      <c r="R324" s="8" t="s">
        <v>33</v>
      </c>
      <c r="S324" s="8" t="s">
        <v>530</v>
      </c>
      <c r="T324" s="8" t="s">
        <v>40</v>
      </c>
      <c r="U324" s="8" t="s">
        <v>32</v>
      </c>
      <c r="V324" s="8" t="s">
        <v>32</v>
      </c>
      <c r="W324" s="8" t="s">
        <v>33</v>
      </c>
      <c r="X324" s="8" t="s">
        <v>33</v>
      </c>
      <c r="Y324" s="8" t="s">
        <v>33</v>
      </c>
      <c r="Z324" s="8" t="s">
        <v>33</v>
      </c>
      <c r="AA324" s="8" t="s">
        <v>33</v>
      </c>
      <c r="AB324" s="8" t="s">
        <v>32</v>
      </c>
      <c r="AC324" s="8" t="s">
        <v>33</v>
      </c>
      <c r="AD324" s="8" t="s">
        <v>32</v>
      </c>
      <c r="AE324" s="8" t="s">
        <v>32</v>
      </c>
      <c r="AF324" s="4">
        <f t="shared" si="10"/>
        <v>5480</v>
      </c>
      <c r="AG324" s="4">
        <f t="shared" si="11"/>
        <v>1585.65</v>
      </c>
      <c r="AH324" s="5" t="s">
        <v>185</v>
      </c>
      <c r="AI324" s="11" t="s">
        <v>221</v>
      </c>
      <c r="AJ324" s="11" t="s">
        <v>545</v>
      </c>
      <c r="AK324" s="11" t="s">
        <v>236</v>
      </c>
    </row>
    <row r="325" spans="1:37" x14ac:dyDescent="0.3">
      <c r="A325" s="8" t="s">
        <v>96</v>
      </c>
      <c r="B325" s="8" t="s">
        <v>97</v>
      </c>
      <c r="C325" s="7">
        <v>45322</v>
      </c>
      <c r="D325" s="8" t="s">
        <v>513</v>
      </c>
      <c r="E325" s="8" t="s">
        <v>549</v>
      </c>
      <c r="F325" s="8" t="s">
        <v>549</v>
      </c>
      <c r="G325" s="8" t="s">
        <v>550</v>
      </c>
      <c r="H325" s="9">
        <v>5195</v>
      </c>
      <c r="I325" s="9">
        <v>1503.18</v>
      </c>
      <c r="L325" s="8" t="s">
        <v>194</v>
      </c>
      <c r="M325" s="8" t="s">
        <v>49</v>
      </c>
      <c r="N325" s="8" t="s">
        <v>56</v>
      </c>
      <c r="O325" s="8" t="s">
        <v>14</v>
      </c>
      <c r="P325" s="8" t="s">
        <v>57</v>
      </c>
      <c r="Q325" s="8" t="s">
        <v>549</v>
      </c>
      <c r="R325" s="8" t="s">
        <v>33</v>
      </c>
      <c r="S325" s="8" t="s">
        <v>530</v>
      </c>
      <c r="T325" s="8" t="s">
        <v>40</v>
      </c>
      <c r="U325" s="8" t="s">
        <v>32</v>
      </c>
      <c r="V325" s="8" t="s">
        <v>32</v>
      </c>
      <c r="W325" s="8" t="s">
        <v>33</v>
      </c>
      <c r="X325" s="8" t="s">
        <v>33</v>
      </c>
      <c r="Y325" s="8" t="s">
        <v>33</v>
      </c>
      <c r="Z325" s="8" t="s">
        <v>33</v>
      </c>
      <c r="AA325" s="8" t="s">
        <v>33</v>
      </c>
      <c r="AB325" s="8" t="s">
        <v>32</v>
      </c>
      <c r="AC325" s="8" t="s">
        <v>33</v>
      </c>
      <c r="AD325" s="8" t="s">
        <v>32</v>
      </c>
      <c r="AE325" s="8" t="s">
        <v>32</v>
      </c>
      <c r="AF325" s="4">
        <f t="shared" si="10"/>
        <v>5195</v>
      </c>
      <c r="AG325" s="4">
        <f t="shared" si="11"/>
        <v>1503.18</v>
      </c>
      <c r="AH325" s="5" t="s">
        <v>185</v>
      </c>
      <c r="AI325" s="11" t="s">
        <v>221</v>
      </c>
      <c r="AJ325" s="11" t="s">
        <v>548</v>
      </c>
      <c r="AK325" s="11" t="s">
        <v>236</v>
      </c>
    </row>
    <row r="326" spans="1:37" x14ac:dyDescent="0.3">
      <c r="A326" s="8" t="s">
        <v>96</v>
      </c>
      <c r="B326" s="8" t="s">
        <v>97</v>
      </c>
      <c r="C326" s="7">
        <v>45322</v>
      </c>
      <c r="D326" s="8" t="s">
        <v>513</v>
      </c>
      <c r="E326" s="8" t="s">
        <v>549</v>
      </c>
      <c r="F326" s="8" t="s">
        <v>549</v>
      </c>
      <c r="G326" s="8" t="s">
        <v>550</v>
      </c>
      <c r="H326" s="9">
        <v>2418</v>
      </c>
      <c r="I326" s="9">
        <v>699.65</v>
      </c>
      <c r="L326" s="8" t="s">
        <v>135</v>
      </c>
      <c r="M326" s="8" t="s">
        <v>50</v>
      </c>
      <c r="N326" s="8" t="s">
        <v>56</v>
      </c>
      <c r="O326" s="8" t="s">
        <v>14</v>
      </c>
      <c r="P326" s="8" t="s">
        <v>57</v>
      </c>
      <c r="Q326" s="8" t="s">
        <v>549</v>
      </c>
      <c r="R326" s="8" t="s">
        <v>33</v>
      </c>
      <c r="S326" s="8" t="s">
        <v>530</v>
      </c>
      <c r="T326" s="8" t="s">
        <v>40</v>
      </c>
      <c r="U326" s="8" t="s">
        <v>32</v>
      </c>
      <c r="V326" s="8" t="s">
        <v>32</v>
      </c>
      <c r="W326" s="8" t="s">
        <v>33</v>
      </c>
      <c r="X326" s="8" t="s">
        <v>33</v>
      </c>
      <c r="Y326" s="8" t="s">
        <v>33</v>
      </c>
      <c r="Z326" s="8" t="s">
        <v>33</v>
      </c>
      <c r="AA326" s="8" t="s">
        <v>33</v>
      </c>
      <c r="AB326" s="8" t="s">
        <v>32</v>
      </c>
      <c r="AC326" s="8" t="s">
        <v>33</v>
      </c>
      <c r="AD326" s="8" t="s">
        <v>32</v>
      </c>
      <c r="AE326" s="8" t="s">
        <v>32</v>
      </c>
      <c r="AF326" s="4">
        <f t="shared" si="10"/>
        <v>2418</v>
      </c>
      <c r="AG326" s="4">
        <f t="shared" si="11"/>
        <v>699.65</v>
      </c>
      <c r="AH326" s="5" t="s">
        <v>184</v>
      </c>
      <c r="AI326" s="11" t="s">
        <v>221</v>
      </c>
      <c r="AJ326" s="11" t="s">
        <v>544</v>
      </c>
      <c r="AK326" s="11" t="s">
        <v>237</v>
      </c>
    </row>
    <row r="327" spans="1:37" x14ac:dyDescent="0.3">
      <c r="A327" s="8" t="s">
        <v>96</v>
      </c>
      <c r="B327" s="8" t="s">
        <v>97</v>
      </c>
      <c r="C327" s="7">
        <v>45322</v>
      </c>
      <c r="D327" s="8" t="s">
        <v>513</v>
      </c>
      <c r="E327" s="8" t="s">
        <v>549</v>
      </c>
      <c r="F327" s="8" t="s">
        <v>549</v>
      </c>
      <c r="G327" s="8" t="s">
        <v>550</v>
      </c>
      <c r="H327" s="9">
        <v>6313</v>
      </c>
      <c r="I327" s="9">
        <v>1826.68</v>
      </c>
      <c r="L327" s="8" t="s">
        <v>119</v>
      </c>
      <c r="M327" s="8" t="s">
        <v>51</v>
      </c>
      <c r="N327" s="8" t="s">
        <v>56</v>
      </c>
      <c r="O327" s="8" t="s">
        <v>14</v>
      </c>
      <c r="P327" s="8" t="s">
        <v>57</v>
      </c>
      <c r="Q327" s="8" t="s">
        <v>549</v>
      </c>
      <c r="R327" s="8" t="s">
        <v>33</v>
      </c>
      <c r="S327" s="8" t="s">
        <v>530</v>
      </c>
      <c r="T327" s="8" t="s">
        <v>40</v>
      </c>
      <c r="U327" s="8" t="s">
        <v>32</v>
      </c>
      <c r="V327" s="8" t="s">
        <v>32</v>
      </c>
      <c r="W327" s="8" t="s">
        <v>33</v>
      </c>
      <c r="X327" s="8" t="s">
        <v>33</v>
      </c>
      <c r="Y327" s="8" t="s">
        <v>33</v>
      </c>
      <c r="Z327" s="8" t="s">
        <v>33</v>
      </c>
      <c r="AA327" s="8" t="s">
        <v>33</v>
      </c>
      <c r="AB327" s="8" t="s">
        <v>32</v>
      </c>
      <c r="AC327" s="8" t="s">
        <v>33</v>
      </c>
      <c r="AD327" s="8" t="s">
        <v>32</v>
      </c>
      <c r="AE327" s="8" t="s">
        <v>32</v>
      </c>
      <c r="AF327" s="4">
        <f t="shared" si="10"/>
        <v>6313</v>
      </c>
      <c r="AG327" s="4">
        <f t="shared" si="11"/>
        <v>1826.68</v>
      </c>
      <c r="AH327" s="5" t="s">
        <v>184</v>
      </c>
      <c r="AI327" s="11" t="s">
        <v>221</v>
      </c>
      <c r="AJ327" s="11" t="s">
        <v>541</v>
      </c>
      <c r="AK327" s="11" t="s">
        <v>237</v>
      </c>
    </row>
    <row r="328" spans="1:37" x14ac:dyDescent="0.3">
      <c r="A328" s="8" t="s">
        <v>113</v>
      </c>
      <c r="B328" s="8" t="s">
        <v>114</v>
      </c>
      <c r="C328" s="7">
        <v>45322</v>
      </c>
      <c r="D328" s="8" t="s">
        <v>513</v>
      </c>
      <c r="E328" s="8" t="s">
        <v>549</v>
      </c>
      <c r="F328" s="8" t="s">
        <v>549</v>
      </c>
      <c r="G328" s="8" t="s">
        <v>550</v>
      </c>
      <c r="H328" s="9">
        <v>5828</v>
      </c>
      <c r="I328" s="9">
        <v>1686.34</v>
      </c>
      <c r="L328" s="8" t="s">
        <v>77</v>
      </c>
      <c r="M328" s="8" t="s">
        <v>52</v>
      </c>
      <c r="N328" s="8" t="s">
        <v>56</v>
      </c>
      <c r="O328" s="8" t="s">
        <v>14</v>
      </c>
      <c r="P328" s="8" t="s">
        <v>57</v>
      </c>
      <c r="Q328" s="8" t="s">
        <v>549</v>
      </c>
      <c r="R328" s="8" t="s">
        <v>33</v>
      </c>
      <c r="S328" s="8" t="s">
        <v>530</v>
      </c>
      <c r="T328" s="8" t="s">
        <v>40</v>
      </c>
      <c r="U328" s="8" t="s">
        <v>32</v>
      </c>
      <c r="V328" s="8" t="s">
        <v>32</v>
      </c>
      <c r="W328" s="8" t="s">
        <v>33</v>
      </c>
      <c r="X328" s="8" t="s">
        <v>33</v>
      </c>
      <c r="Y328" s="8" t="s">
        <v>33</v>
      </c>
      <c r="Z328" s="8" t="s">
        <v>33</v>
      </c>
      <c r="AA328" s="8" t="s">
        <v>33</v>
      </c>
      <c r="AB328" s="8" t="s">
        <v>32</v>
      </c>
      <c r="AC328" s="8" t="s">
        <v>33</v>
      </c>
      <c r="AD328" s="8" t="s">
        <v>32</v>
      </c>
      <c r="AE328" s="8" t="s">
        <v>32</v>
      </c>
      <c r="AF328" s="4">
        <f t="shared" si="10"/>
        <v>5828</v>
      </c>
      <c r="AG328" s="4">
        <f t="shared" si="11"/>
        <v>1686.34</v>
      </c>
      <c r="AH328" s="5" t="s">
        <v>185</v>
      </c>
      <c r="AI328" s="11" t="s">
        <v>233</v>
      </c>
      <c r="AJ328" s="11" t="s">
        <v>211</v>
      </c>
      <c r="AK328" s="11" t="s">
        <v>235</v>
      </c>
    </row>
    <row r="329" spans="1:37" x14ac:dyDescent="0.3">
      <c r="A329" s="8" t="s">
        <v>133</v>
      </c>
      <c r="B329" s="8" t="s">
        <v>134</v>
      </c>
      <c r="C329" s="7">
        <v>45322</v>
      </c>
      <c r="D329" s="8" t="s">
        <v>513</v>
      </c>
      <c r="E329" s="8" t="s">
        <v>549</v>
      </c>
      <c r="F329" s="8" t="s">
        <v>549</v>
      </c>
      <c r="G329" s="8" t="s">
        <v>550</v>
      </c>
      <c r="H329" s="9">
        <v>6029</v>
      </c>
      <c r="I329" s="9">
        <v>1744.5</v>
      </c>
      <c r="L329" s="8" t="s">
        <v>77</v>
      </c>
      <c r="M329" s="8" t="s">
        <v>58</v>
      </c>
      <c r="N329" s="8" t="s">
        <v>56</v>
      </c>
      <c r="O329" s="8" t="s">
        <v>14</v>
      </c>
      <c r="P329" s="8" t="s">
        <v>57</v>
      </c>
      <c r="Q329" s="8" t="s">
        <v>549</v>
      </c>
      <c r="R329" s="8" t="s">
        <v>33</v>
      </c>
      <c r="S329" s="8" t="s">
        <v>530</v>
      </c>
      <c r="T329" s="8" t="s">
        <v>40</v>
      </c>
      <c r="U329" s="8" t="s">
        <v>32</v>
      </c>
      <c r="V329" s="8" t="s">
        <v>32</v>
      </c>
      <c r="W329" s="8" t="s">
        <v>33</v>
      </c>
      <c r="X329" s="8" t="s">
        <v>33</v>
      </c>
      <c r="Y329" s="8" t="s">
        <v>33</v>
      </c>
      <c r="Z329" s="8" t="s">
        <v>33</v>
      </c>
      <c r="AA329" s="8" t="s">
        <v>33</v>
      </c>
      <c r="AB329" s="8" t="s">
        <v>32</v>
      </c>
      <c r="AC329" s="8" t="s">
        <v>33</v>
      </c>
      <c r="AD329" s="8" t="s">
        <v>32</v>
      </c>
      <c r="AE329" s="8" t="s">
        <v>32</v>
      </c>
      <c r="AF329" s="4">
        <f t="shared" si="10"/>
        <v>6029</v>
      </c>
      <c r="AG329" s="4">
        <f t="shared" si="11"/>
        <v>1744.5</v>
      </c>
      <c r="AH329" s="5" t="s">
        <v>185</v>
      </c>
      <c r="AI329" s="11" t="s">
        <v>220</v>
      </c>
      <c r="AJ329" s="11" t="s">
        <v>211</v>
      </c>
      <c r="AK329" s="11" t="s">
        <v>235</v>
      </c>
    </row>
    <row r="330" spans="1:37" x14ac:dyDescent="0.3">
      <c r="A330" s="8" t="s">
        <v>136</v>
      </c>
      <c r="B330" s="8" t="s">
        <v>137</v>
      </c>
      <c r="C330" s="7">
        <v>45322</v>
      </c>
      <c r="D330" s="8" t="s">
        <v>513</v>
      </c>
      <c r="E330" s="8" t="s">
        <v>549</v>
      </c>
      <c r="F330" s="8" t="s">
        <v>549</v>
      </c>
      <c r="G330" s="8" t="s">
        <v>550</v>
      </c>
      <c r="H330" s="9">
        <v>722</v>
      </c>
      <c r="I330" s="9">
        <v>208.91</v>
      </c>
      <c r="L330" s="8" t="s">
        <v>77</v>
      </c>
      <c r="M330" s="8" t="s">
        <v>53</v>
      </c>
      <c r="N330" s="8" t="s">
        <v>56</v>
      </c>
      <c r="O330" s="8" t="s">
        <v>14</v>
      </c>
      <c r="P330" s="8" t="s">
        <v>57</v>
      </c>
      <c r="Q330" s="8" t="s">
        <v>549</v>
      </c>
      <c r="R330" s="8" t="s">
        <v>33</v>
      </c>
      <c r="S330" s="8" t="s">
        <v>530</v>
      </c>
      <c r="T330" s="8" t="s">
        <v>40</v>
      </c>
      <c r="U330" s="8" t="s">
        <v>32</v>
      </c>
      <c r="V330" s="8" t="s">
        <v>32</v>
      </c>
      <c r="W330" s="8" t="s">
        <v>33</v>
      </c>
      <c r="X330" s="8" t="s">
        <v>33</v>
      </c>
      <c r="Y330" s="8" t="s">
        <v>33</v>
      </c>
      <c r="Z330" s="8" t="s">
        <v>33</v>
      </c>
      <c r="AA330" s="8" t="s">
        <v>33</v>
      </c>
      <c r="AB330" s="8" t="s">
        <v>32</v>
      </c>
      <c r="AC330" s="8" t="s">
        <v>33</v>
      </c>
      <c r="AD330" s="8" t="s">
        <v>32</v>
      </c>
      <c r="AE330" s="8" t="s">
        <v>32</v>
      </c>
      <c r="AF330" s="4">
        <f t="shared" si="10"/>
        <v>722</v>
      </c>
      <c r="AG330" s="4">
        <f t="shared" si="11"/>
        <v>208.91</v>
      </c>
      <c r="AH330" s="5" t="s">
        <v>185</v>
      </c>
      <c r="AI330" s="11" t="s">
        <v>217</v>
      </c>
      <c r="AJ330" s="11" t="s">
        <v>211</v>
      </c>
      <c r="AK330" s="11" t="s">
        <v>235</v>
      </c>
    </row>
    <row r="331" spans="1:37" x14ac:dyDescent="0.3">
      <c r="A331" s="8" t="s">
        <v>90</v>
      </c>
      <c r="B331" s="8" t="s">
        <v>91</v>
      </c>
      <c r="C331" s="7">
        <v>45322</v>
      </c>
      <c r="D331" s="8" t="s">
        <v>513</v>
      </c>
      <c r="E331" s="8" t="s">
        <v>549</v>
      </c>
      <c r="F331" s="8" t="s">
        <v>549</v>
      </c>
      <c r="G331" s="8" t="s">
        <v>550</v>
      </c>
      <c r="H331" s="9">
        <v>1503</v>
      </c>
      <c r="I331" s="9">
        <v>434.9</v>
      </c>
      <c r="L331" s="8" t="s">
        <v>89</v>
      </c>
      <c r="M331" s="8" t="s">
        <v>54</v>
      </c>
      <c r="N331" s="8" t="s">
        <v>56</v>
      </c>
      <c r="O331" s="8" t="s">
        <v>14</v>
      </c>
      <c r="P331" s="8" t="s">
        <v>57</v>
      </c>
      <c r="Q331" s="8" t="s">
        <v>549</v>
      </c>
      <c r="R331" s="8" t="s">
        <v>33</v>
      </c>
      <c r="S331" s="8" t="s">
        <v>530</v>
      </c>
      <c r="T331" s="8" t="s">
        <v>40</v>
      </c>
      <c r="U331" s="8" t="s">
        <v>32</v>
      </c>
      <c r="V331" s="8" t="s">
        <v>32</v>
      </c>
      <c r="W331" s="8" t="s">
        <v>33</v>
      </c>
      <c r="X331" s="8" t="s">
        <v>33</v>
      </c>
      <c r="Y331" s="8" t="s">
        <v>33</v>
      </c>
      <c r="Z331" s="8" t="s">
        <v>33</v>
      </c>
      <c r="AA331" s="8" t="s">
        <v>33</v>
      </c>
      <c r="AB331" s="8" t="s">
        <v>32</v>
      </c>
      <c r="AC331" s="8" t="s">
        <v>33</v>
      </c>
      <c r="AD331" s="8" t="s">
        <v>32</v>
      </c>
      <c r="AE331" s="8" t="s">
        <v>32</v>
      </c>
      <c r="AF331" s="4">
        <f t="shared" si="10"/>
        <v>1503</v>
      </c>
      <c r="AG331" s="4">
        <f t="shared" si="11"/>
        <v>434.9</v>
      </c>
      <c r="AH331" s="5" t="s">
        <v>185</v>
      </c>
      <c r="AI331" s="11" t="s">
        <v>218</v>
      </c>
      <c r="AJ331" s="11" t="s">
        <v>208</v>
      </c>
      <c r="AK331" s="11" t="s">
        <v>235</v>
      </c>
    </row>
    <row r="332" spans="1:37" x14ac:dyDescent="0.3">
      <c r="A332" s="8" t="s">
        <v>109</v>
      </c>
      <c r="B332" s="8" t="s">
        <v>110</v>
      </c>
      <c r="C332" s="7">
        <v>45322</v>
      </c>
      <c r="D332" s="8" t="s">
        <v>513</v>
      </c>
      <c r="E332" s="8" t="s">
        <v>549</v>
      </c>
      <c r="F332" s="8" t="s">
        <v>549</v>
      </c>
      <c r="G332" s="8" t="s">
        <v>550</v>
      </c>
      <c r="H332" s="9">
        <v>6250</v>
      </c>
      <c r="I332" s="9">
        <v>1808.45</v>
      </c>
      <c r="L332" s="8" t="s">
        <v>76</v>
      </c>
      <c r="M332" s="8" t="s">
        <v>55</v>
      </c>
      <c r="N332" s="8" t="s">
        <v>56</v>
      </c>
      <c r="O332" s="8" t="s">
        <v>14</v>
      </c>
      <c r="P332" s="8" t="s">
        <v>57</v>
      </c>
      <c r="Q332" s="8" t="s">
        <v>549</v>
      </c>
      <c r="R332" s="8" t="s">
        <v>33</v>
      </c>
      <c r="S332" s="8" t="s">
        <v>530</v>
      </c>
      <c r="T332" s="8" t="s">
        <v>40</v>
      </c>
      <c r="U332" s="8" t="s">
        <v>32</v>
      </c>
      <c r="V332" s="8" t="s">
        <v>32</v>
      </c>
      <c r="W332" s="8" t="s">
        <v>33</v>
      </c>
      <c r="X332" s="8" t="s">
        <v>33</v>
      </c>
      <c r="Y332" s="8" t="s">
        <v>33</v>
      </c>
      <c r="Z332" s="8" t="s">
        <v>33</v>
      </c>
      <c r="AA332" s="8" t="s">
        <v>33</v>
      </c>
      <c r="AB332" s="8" t="s">
        <v>32</v>
      </c>
      <c r="AC332" s="8" t="s">
        <v>33</v>
      </c>
      <c r="AD332" s="8" t="s">
        <v>32</v>
      </c>
      <c r="AE332" s="8" t="s">
        <v>32</v>
      </c>
      <c r="AF332" s="4">
        <f t="shared" si="10"/>
        <v>6250</v>
      </c>
      <c r="AG332" s="4">
        <f t="shared" si="11"/>
        <v>1808.45</v>
      </c>
      <c r="AH332" s="5" t="s">
        <v>185</v>
      </c>
      <c r="AI332" s="11" t="s">
        <v>225</v>
      </c>
      <c r="AJ332" s="11" t="s">
        <v>205</v>
      </c>
      <c r="AK332" s="11" t="s">
        <v>235</v>
      </c>
    </row>
    <row r="333" spans="1:37" x14ac:dyDescent="0.3">
      <c r="A333" s="8" t="s">
        <v>123</v>
      </c>
      <c r="B333" s="8" t="s">
        <v>124</v>
      </c>
      <c r="C333" s="7">
        <v>45322</v>
      </c>
      <c r="D333" s="8" t="s">
        <v>513</v>
      </c>
      <c r="E333" s="8" t="s">
        <v>549</v>
      </c>
      <c r="F333" s="8" t="s">
        <v>549</v>
      </c>
      <c r="G333" s="8" t="s">
        <v>550</v>
      </c>
      <c r="H333" s="9">
        <v>5694</v>
      </c>
      <c r="I333" s="9">
        <v>1647.57</v>
      </c>
      <c r="L333" s="8" t="s">
        <v>120</v>
      </c>
      <c r="M333" s="8" t="s">
        <v>64</v>
      </c>
      <c r="N333" s="8" t="s">
        <v>56</v>
      </c>
      <c r="O333" s="8" t="s">
        <v>14</v>
      </c>
      <c r="P333" s="8" t="s">
        <v>57</v>
      </c>
      <c r="Q333" s="8" t="s">
        <v>549</v>
      </c>
      <c r="R333" s="8" t="s">
        <v>33</v>
      </c>
      <c r="S333" s="8" t="s">
        <v>530</v>
      </c>
      <c r="T333" s="8" t="s">
        <v>40</v>
      </c>
      <c r="U333" s="8" t="s">
        <v>32</v>
      </c>
      <c r="V333" s="8" t="s">
        <v>32</v>
      </c>
      <c r="W333" s="8" t="s">
        <v>33</v>
      </c>
      <c r="X333" s="8" t="s">
        <v>33</v>
      </c>
      <c r="Y333" s="8" t="s">
        <v>33</v>
      </c>
      <c r="Z333" s="8" t="s">
        <v>33</v>
      </c>
      <c r="AA333" s="8" t="s">
        <v>33</v>
      </c>
      <c r="AB333" s="8" t="s">
        <v>32</v>
      </c>
      <c r="AC333" s="8" t="s">
        <v>33</v>
      </c>
      <c r="AD333" s="8" t="s">
        <v>32</v>
      </c>
      <c r="AE333" s="8" t="s">
        <v>32</v>
      </c>
      <c r="AF333" s="4">
        <f t="shared" si="10"/>
        <v>5694</v>
      </c>
      <c r="AG333" s="4">
        <f t="shared" si="11"/>
        <v>1647.57</v>
      </c>
      <c r="AH333" s="5" t="s">
        <v>184</v>
      </c>
      <c r="AI333" s="11" t="s">
        <v>226</v>
      </c>
      <c r="AJ333" s="11" t="s">
        <v>546</v>
      </c>
      <c r="AK333" s="11" t="s">
        <v>237</v>
      </c>
    </row>
    <row r="334" spans="1:37" x14ac:dyDescent="0.3">
      <c r="A334" s="8" t="s">
        <v>123</v>
      </c>
      <c r="B334" s="8" t="s">
        <v>124</v>
      </c>
      <c r="C334" s="7">
        <v>45322</v>
      </c>
      <c r="D334" s="8" t="s">
        <v>513</v>
      </c>
      <c r="E334" s="8" t="s">
        <v>549</v>
      </c>
      <c r="F334" s="8" t="s">
        <v>549</v>
      </c>
      <c r="G334" s="8" t="s">
        <v>550</v>
      </c>
      <c r="H334" s="9">
        <v>7774</v>
      </c>
      <c r="I334" s="9">
        <v>2249.42</v>
      </c>
      <c r="L334" s="8" t="s">
        <v>77</v>
      </c>
      <c r="M334" s="8" t="s">
        <v>59</v>
      </c>
      <c r="N334" s="8" t="s">
        <v>56</v>
      </c>
      <c r="O334" s="8" t="s">
        <v>14</v>
      </c>
      <c r="P334" s="8" t="s">
        <v>57</v>
      </c>
      <c r="Q334" s="8" t="s">
        <v>549</v>
      </c>
      <c r="R334" s="8" t="s">
        <v>33</v>
      </c>
      <c r="S334" s="8" t="s">
        <v>530</v>
      </c>
      <c r="T334" s="8" t="s">
        <v>40</v>
      </c>
      <c r="U334" s="8" t="s">
        <v>32</v>
      </c>
      <c r="V334" s="8" t="s">
        <v>32</v>
      </c>
      <c r="W334" s="8" t="s">
        <v>33</v>
      </c>
      <c r="X334" s="8" t="s">
        <v>33</v>
      </c>
      <c r="Y334" s="8" t="s">
        <v>33</v>
      </c>
      <c r="Z334" s="8" t="s">
        <v>33</v>
      </c>
      <c r="AA334" s="8" t="s">
        <v>33</v>
      </c>
      <c r="AB334" s="8" t="s">
        <v>32</v>
      </c>
      <c r="AC334" s="8" t="s">
        <v>33</v>
      </c>
      <c r="AD334" s="8" t="s">
        <v>32</v>
      </c>
      <c r="AE334" s="8" t="s">
        <v>32</v>
      </c>
      <c r="AF334" s="4">
        <f t="shared" si="10"/>
        <v>7774</v>
      </c>
      <c r="AG334" s="4">
        <f t="shared" si="11"/>
        <v>2249.42</v>
      </c>
      <c r="AH334" s="5" t="s">
        <v>185</v>
      </c>
      <c r="AI334" s="11" t="s">
        <v>226</v>
      </c>
      <c r="AJ334" s="11" t="s">
        <v>211</v>
      </c>
      <c r="AK334" s="11" t="s">
        <v>235</v>
      </c>
    </row>
    <row r="335" spans="1:37" x14ac:dyDescent="0.3">
      <c r="A335" s="8" t="s">
        <v>123</v>
      </c>
      <c r="B335" s="8" t="s">
        <v>124</v>
      </c>
      <c r="C335" s="7">
        <v>45322</v>
      </c>
      <c r="D335" s="8" t="s">
        <v>513</v>
      </c>
      <c r="E335" s="8" t="s">
        <v>549</v>
      </c>
      <c r="F335" s="8" t="s">
        <v>549</v>
      </c>
      <c r="G335" s="8" t="s">
        <v>550</v>
      </c>
      <c r="H335" s="9">
        <v>243</v>
      </c>
      <c r="I335" s="9">
        <v>70.31</v>
      </c>
      <c r="L335" s="8" t="s">
        <v>79</v>
      </c>
      <c r="M335" s="8" t="s">
        <v>60</v>
      </c>
      <c r="N335" s="8" t="s">
        <v>56</v>
      </c>
      <c r="O335" s="8" t="s">
        <v>14</v>
      </c>
      <c r="P335" s="8" t="s">
        <v>57</v>
      </c>
      <c r="Q335" s="8" t="s">
        <v>549</v>
      </c>
      <c r="R335" s="8" t="s">
        <v>33</v>
      </c>
      <c r="S335" s="8" t="s">
        <v>530</v>
      </c>
      <c r="T335" s="8" t="s">
        <v>40</v>
      </c>
      <c r="U335" s="8" t="s">
        <v>32</v>
      </c>
      <c r="V335" s="8" t="s">
        <v>32</v>
      </c>
      <c r="W335" s="8" t="s">
        <v>33</v>
      </c>
      <c r="X335" s="8" t="s">
        <v>33</v>
      </c>
      <c r="Y335" s="8" t="s">
        <v>33</v>
      </c>
      <c r="Z335" s="8" t="s">
        <v>33</v>
      </c>
      <c r="AA335" s="8" t="s">
        <v>33</v>
      </c>
      <c r="AB335" s="8" t="s">
        <v>32</v>
      </c>
      <c r="AC335" s="8" t="s">
        <v>33</v>
      </c>
      <c r="AD335" s="8" t="s">
        <v>32</v>
      </c>
      <c r="AE335" s="8" t="s">
        <v>32</v>
      </c>
      <c r="AF335" s="4">
        <f t="shared" si="10"/>
        <v>243</v>
      </c>
      <c r="AG335" s="4">
        <f t="shared" si="11"/>
        <v>70.31</v>
      </c>
      <c r="AH335" s="5" t="s">
        <v>185</v>
      </c>
      <c r="AI335" s="11" t="s">
        <v>226</v>
      </c>
      <c r="AJ335" s="11" t="s">
        <v>542</v>
      </c>
      <c r="AK335" s="11" t="s">
        <v>238</v>
      </c>
    </row>
    <row r="336" spans="1:37" x14ac:dyDescent="0.3">
      <c r="A336" s="8" t="s">
        <v>98</v>
      </c>
      <c r="B336" s="8" t="s">
        <v>99</v>
      </c>
      <c r="C336" s="7">
        <v>45322</v>
      </c>
      <c r="D336" s="8" t="s">
        <v>513</v>
      </c>
      <c r="E336" s="8" t="s">
        <v>549</v>
      </c>
      <c r="F336" s="8" t="s">
        <v>549</v>
      </c>
      <c r="G336" s="8" t="s">
        <v>550</v>
      </c>
      <c r="H336" s="9">
        <v>6756</v>
      </c>
      <c r="I336" s="9">
        <v>1954.86</v>
      </c>
      <c r="L336" s="8" t="s">
        <v>92</v>
      </c>
      <c r="M336" s="8" t="s">
        <v>62</v>
      </c>
      <c r="N336" s="8" t="s">
        <v>56</v>
      </c>
      <c r="O336" s="8" t="s">
        <v>14</v>
      </c>
      <c r="P336" s="8" t="s">
        <v>57</v>
      </c>
      <c r="Q336" s="8" t="s">
        <v>549</v>
      </c>
      <c r="R336" s="8" t="s">
        <v>33</v>
      </c>
      <c r="S336" s="8" t="s">
        <v>530</v>
      </c>
      <c r="T336" s="8" t="s">
        <v>40</v>
      </c>
      <c r="U336" s="8" t="s">
        <v>32</v>
      </c>
      <c r="V336" s="8" t="s">
        <v>32</v>
      </c>
      <c r="W336" s="8" t="s">
        <v>33</v>
      </c>
      <c r="X336" s="8" t="s">
        <v>33</v>
      </c>
      <c r="Y336" s="8" t="s">
        <v>33</v>
      </c>
      <c r="Z336" s="8" t="s">
        <v>33</v>
      </c>
      <c r="AA336" s="8" t="s">
        <v>33</v>
      </c>
      <c r="AB336" s="8" t="s">
        <v>32</v>
      </c>
      <c r="AC336" s="8" t="s">
        <v>33</v>
      </c>
      <c r="AD336" s="8" t="s">
        <v>32</v>
      </c>
      <c r="AE336" s="8" t="s">
        <v>32</v>
      </c>
      <c r="AF336" s="4">
        <f t="shared" si="10"/>
        <v>6756</v>
      </c>
      <c r="AG336" s="4">
        <f t="shared" si="11"/>
        <v>1954.86</v>
      </c>
      <c r="AH336" s="5" t="s">
        <v>185</v>
      </c>
      <c r="AI336" s="11" t="s">
        <v>219</v>
      </c>
      <c r="AJ336" s="11" t="s">
        <v>207</v>
      </c>
      <c r="AK336" s="11" t="s">
        <v>235</v>
      </c>
    </row>
    <row r="337" spans="1:37" x14ac:dyDescent="0.3">
      <c r="A337" s="8" t="s">
        <v>164</v>
      </c>
      <c r="B337" s="8" t="s">
        <v>165</v>
      </c>
      <c r="C337" s="7">
        <v>45322</v>
      </c>
      <c r="D337" s="8" t="s">
        <v>513</v>
      </c>
      <c r="E337" s="8" t="s">
        <v>549</v>
      </c>
      <c r="F337" s="8" t="s">
        <v>549</v>
      </c>
      <c r="G337" s="8" t="s">
        <v>550</v>
      </c>
      <c r="H337" s="9">
        <v>4248</v>
      </c>
      <c r="I337" s="9">
        <v>1229.17</v>
      </c>
      <c r="L337" s="8" t="s">
        <v>77</v>
      </c>
      <c r="M337" s="8" t="s">
        <v>63</v>
      </c>
      <c r="N337" s="8" t="s">
        <v>56</v>
      </c>
      <c r="O337" s="8" t="s">
        <v>14</v>
      </c>
      <c r="P337" s="8" t="s">
        <v>57</v>
      </c>
      <c r="Q337" s="8" t="s">
        <v>549</v>
      </c>
      <c r="R337" s="8" t="s">
        <v>33</v>
      </c>
      <c r="S337" s="8" t="s">
        <v>530</v>
      </c>
      <c r="T337" s="8" t="s">
        <v>40</v>
      </c>
      <c r="U337" s="8" t="s">
        <v>32</v>
      </c>
      <c r="V337" s="8" t="s">
        <v>32</v>
      </c>
      <c r="W337" s="8" t="s">
        <v>33</v>
      </c>
      <c r="X337" s="8" t="s">
        <v>33</v>
      </c>
      <c r="Y337" s="8" t="s">
        <v>33</v>
      </c>
      <c r="Z337" s="8" t="s">
        <v>33</v>
      </c>
      <c r="AA337" s="8" t="s">
        <v>33</v>
      </c>
      <c r="AB337" s="8" t="s">
        <v>32</v>
      </c>
      <c r="AC337" s="8" t="s">
        <v>33</v>
      </c>
      <c r="AD337" s="8" t="s">
        <v>32</v>
      </c>
      <c r="AE337" s="8" t="s">
        <v>32</v>
      </c>
      <c r="AF337" s="4">
        <f t="shared" si="10"/>
        <v>4248</v>
      </c>
      <c r="AG337" s="4">
        <f t="shared" si="11"/>
        <v>1229.17</v>
      </c>
      <c r="AH337" s="5" t="s">
        <v>185</v>
      </c>
      <c r="AI337" s="11" t="s">
        <v>213</v>
      </c>
      <c r="AJ337" s="11" t="s">
        <v>211</v>
      </c>
      <c r="AK337" s="11" t="s">
        <v>235</v>
      </c>
    </row>
    <row r="338" spans="1:37" x14ac:dyDescent="0.3">
      <c r="A338" s="8" t="s">
        <v>90</v>
      </c>
      <c r="B338" s="8" t="s">
        <v>91</v>
      </c>
      <c r="C338" s="7">
        <v>45322</v>
      </c>
      <c r="D338" s="8" t="s">
        <v>514</v>
      </c>
      <c r="E338" s="8" t="s">
        <v>549</v>
      </c>
      <c r="F338" s="8" t="s">
        <v>549</v>
      </c>
      <c r="G338" s="8" t="s">
        <v>550</v>
      </c>
      <c r="H338" s="9">
        <v>6736</v>
      </c>
      <c r="I338" s="9">
        <v>1949.07</v>
      </c>
      <c r="L338" s="8" t="s">
        <v>89</v>
      </c>
      <c r="M338" s="8" t="s">
        <v>28</v>
      </c>
      <c r="N338" s="8" t="s">
        <v>56</v>
      </c>
      <c r="O338" s="8" t="s">
        <v>14</v>
      </c>
      <c r="P338" s="8" t="s">
        <v>57</v>
      </c>
      <c r="Q338" s="8" t="s">
        <v>549</v>
      </c>
      <c r="R338" s="8" t="s">
        <v>33</v>
      </c>
      <c r="S338" s="8" t="s">
        <v>530</v>
      </c>
      <c r="T338" s="8" t="s">
        <v>40</v>
      </c>
      <c r="U338" s="8" t="s">
        <v>32</v>
      </c>
      <c r="V338" s="8" t="s">
        <v>32</v>
      </c>
      <c r="W338" s="8" t="s">
        <v>33</v>
      </c>
      <c r="X338" s="8" t="s">
        <v>33</v>
      </c>
      <c r="Y338" s="8" t="s">
        <v>33</v>
      </c>
      <c r="Z338" s="8" t="s">
        <v>33</v>
      </c>
      <c r="AA338" s="8" t="s">
        <v>33</v>
      </c>
      <c r="AB338" s="8" t="s">
        <v>32</v>
      </c>
      <c r="AC338" s="8" t="s">
        <v>33</v>
      </c>
      <c r="AD338" s="8" t="s">
        <v>32</v>
      </c>
      <c r="AE338" s="8" t="s">
        <v>32</v>
      </c>
      <c r="AF338" s="4">
        <f t="shared" si="10"/>
        <v>6736</v>
      </c>
      <c r="AG338" s="4">
        <f t="shared" si="11"/>
        <v>1949.07</v>
      </c>
      <c r="AH338" s="5" t="s">
        <v>185</v>
      </c>
      <c r="AI338" s="11" t="s">
        <v>218</v>
      </c>
      <c r="AJ338" s="11" t="s">
        <v>208</v>
      </c>
      <c r="AK338" s="11" t="s">
        <v>235</v>
      </c>
    </row>
    <row r="339" spans="1:37" x14ac:dyDescent="0.3">
      <c r="A339" s="8" t="s">
        <v>90</v>
      </c>
      <c r="B339" s="8" t="s">
        <v>91</v>
      </c>
      <c r="C339" s="7">
        <v>45322</v>
      </c>
      <c r="D339" s="8" t="s">
        <v>514</v>
      </c>
      <c r="E339" s="8" t="s">
        <v>549</v>
      </c>
      <c r="F339" s="8" t="s">
        <v>549</v>
      </c>
      <c r="G339" s="8" t="s">
        <v>550</v>
      </c>
      <c r="H339" s="9">
        <v>2428</v>
      </c>
      <c r="I339" s="9">
        <v>702.55</v>
      </c>
      <c r="L339" s="8" t="s">
        <v>89</v>
      </c>
      <c r="M339" s="8" t="s">
        <v>34</v>
      </c>
      <c r="N339" s="8" t="s">
        <v>56</v>
      </c>
      <c r="O339" s="8" t="s">
        <v>14</v>
      </c>
      <c r="P339" s="8" t="s">
        <v>57</v>
      </c>
      <c r="Q339" s="8" t="s">
        <v>549</v>
      </c>
      <c r="R339" s="8" t="s">
        <v>33</v>
      </c>
      <c r="S339" s="8" t="s">
        <v>530</v>
      </c>
      <c r="T339" s="8" t="s">
        <v>40</v>
      </c>
      <c r="U339" s="8" t="s">
        <v>32</v>
      </c>
      <c r="V339" s="8" t="s">
        <v>32</v>
      </c>
      <c r="W339" s="8" t="s">
        <v>33</v>
      </c>
      <c r="X339" s="8" t="s">
        <v>33</v>
      </c>
      <c r="Y339" s="8" t="s">
        <v>33</v>
      </c>
      <c r="Z339" s="8" t="s">
        <v>33</v>
      </c>
      <c r="AA339" s="8" t="s">
        <v>33</v>
      </c>
      <c r="AB339" s="8" t="s">
        <v>32</v>
      </c>
      <c r="AC339" s="8" t="s">
        <v>33</v>
      </c>
      <c r="AD339" s="8" t="s">
        <v>32</v>
      </c>
      <c r="AE339" s="8" t="s">
        <v>32</v>
      </c>
      <c r="AF339" s="4">
        <f t="shared" si="10"/>
        <v>2428</v>
      </c>
      <c r="AG339" s="4">
        <f t="shared" si="11"/>
        <v>702.55</v>
      </c>
      <c r="AH339" s="5" t="s">
        <v>185</v>
      </c>
      <c r="AI339" s="11" t="s">
        <v>218</v>
      </c>
      <c r="AJ339" s="11" t="s">
        <v>208</v>
      </c>
      <c r="AK339" s="11" t="s">
        <v>235</v>
      </c>
    </row>
    <row r="340" spans="1:37" x14ac:dyDescent="0.3">
      <c r="A340" s="8" t="s">
        <v>94</v>
      </c>
      <c r="B340" s="8" t="s">
        <v>95</v>
      </c>
      <c r="C340" s="7">
        <v>45322</v>
      </c>
      <c r="D340" s="8" t="s">
        <v>514</v>
      </c>
      <c r="E340" s="8" t="s">
        <v>549</v>
      </c>
      <c r="F340" s="8" t="s">
        <v>549</v>
      </c>
      <c r="G340" s="8" t="s">
        <v>550</v>
      </c>
      <c r="H340" s="9">
        <v>451</v>
      </c>
      <c r="I340" s="9">
        <v>130.5</v>
      </c>
      <c r="L340" s="8" t="s">
        <v>89</v>
      </c>
      <c r="M340" s="8" t="s">
        <v>38</v>
      </c>
      <c r="N340" s="8" t="s">
        <v>56</v>
      </c>
      <c r="O340" s="8" t="s">
        <v>14</v>
      </c>
      <c r="P340" s="8" t="s">
        <v>57</v>
      </c>
      <c r="Q340" s="8" t="s">
        <v>549</v>
      </c>
      <c r="R340" s="8" t="s">
        <v>33</v>
      </c>
      <c r="S340" s="8" t="s">
        <v>530</v>
      </c>
      <c r="T340" s="8" t="s">
        <v>40</v>
      </c>
      <c r="U340" s="8" t="s">
        <v>32</v>
      </c>
      <c r="V340" s="8" t="s">
        <v>32</v>
      </c>
      <c r="W340" s="8" t="s">
        <v>33</v>
      </c>
      <c r="X340" s="8" t="s">
        <v>33</v>
      </c>
      <c r="Y340" s="8" t="s">
        <v>33</v>
      </c>
      <c r="Z340" s="8" t="s">
        <v>33</v>
      </c>
      <c r="AA340" s="8" t="s">
        <v>33</v>
      </c>
      <c r="AB340" s="8" t="s">
        <v>32</v>
      </c>
      <c r="AC340" s="8" t="s">
        <v>33</v>
      </c>
      <c r="AD340" s="8" t="s">
        <v>32</v>
      </c>
      <c r="AE340" s="8" t="s">
        <v>32</v>
      </c>
      <c r="AF340" s="4">
        <f t="shared" si="10"/>
        <v>451</v>
      </c>
      <c r="AG340" s="4">
        <f t="shared" si="11"/>
        <v>130.5</v>
      </c>
      <c r="AH340" s="5" t="s">
        <v>185</v>
      </c>
      <c r="AI340" s="11" t="s">
        <v>222</v>
      </c>
      <c r="AJ340" s="11" t="s">
        <v>208</v>
      </c>
      <c r="AK340" s="11" t="s">
        <v>235</v>
      </c>
    </row>
    <row r="341" spans="1:37" x14ac:dyDescent="0.3">
      <c r="A341" s="8" t="s">
        <v>94</v>
      </c>
      <c r="B341" s="8" t="s">
        <v>95</v>
      </c>
      <c r="C341" s="7">
        <v>45322</v>
      </c>
      <c r="D341" s="8" t="s">
        <v>514</v>
      </c>
      <c r="E341" s="8" t="s">
        <v>549</v>
      </c>
      <c r="F341" s="8" t="s">
        <v>549</v>
      </c>
      <c r="G341" s="8" t="s">
        <v>550</v>
      </c>
      <c r="H341" s="9">
        <v>3154</v>
      </c>
      <c r="I341" s="9">
        <v>912.62</v>
      </c>
      <c r="L341" s="8" t="s">
        <v>89</v>
      </c>
      <c r="M341" s="8" t="s">
        <v>39</v>
      </c>
      <c r="N341" s="8" t="s">
        <v>56</v>
      </c>
      <c r="O341" s="8" t="s">
        <v>14</v>
      </c>
      <c r="P341" s="8" t="s">
        <v>57</v>
      </c>
      <c r="Q341" s="8" t="s">
        <v>549</v>
      </c>
      <c r="R341" s="8" t="s">
        <v>33</v>
      </c>
      <c r="S341" s="8" t="s">
        <v>530</v>
      </c>
      <c r="T341" s="8" t="s">
        <v>40</v>
      </c>
      <c r="U341" s="8" t="s">
        <v>32</v>
      </c>
      <c r="V341" s="8" t="s">
        <v>32</v>
      </c>
      <c r="W341" s="8" t="s">
        <v>33</v>
      </c>
      <c r="X341" s="8" t="s">
        <v>33</v>
      </c>
      <c r="Y341" s="8" t="s">
        <v>33</v>
      </c>
      <c r="Z341" s="8" t="s">
        <v>33</v>
      </c>
      <c r="AA341" s="8" t="s">
        <v>33</v>
      </c>
      <c r="AB341" s="8" t="s">
        <v>32</v>
      </c>
      <c r="AC341" s="8" t="s">
        <v>33</v>
      </c>
      <c r="AD341" s="8" t="s">
        <v>32</v>
      </c>
      <c r="AE341" s="8" t="s">
        <v>32</v>
      </c>
      <c r="AF341" s="4">
        <f t="shared" si="10"/>
        <v>3154</v>
      </c>
      <c r="AG341" s="4">
        <f t="shared" si="11"/>
        <v>912.62</v>
      </c>
      <c r="AH341" s="5" t="s">
        <v>185</v>
      </c>
      <c r="AI341" s="11" t="s">
        <v>222</v>
      </c>
      <c r="AJ341" s="11" t="s">
        <v>208</v>
      </c>
      <c r="AK341" s="11" t="s">
        <v>235</v>
      </c>
    </row>
    <row r="342" spans="1:37" x14ac:dyDescent="0.3">
      <c r="A342" s="8" t="s">
        <v>94</v>
      </c>
      <c r="B342" s="8" t="s">
        <v>95</v>
      </c>
      <c r="C342" s="7">
        <v>45322</v>
      </c>
      <c r="D342" s="8" t="s">
        <v>514</v>
      </c>
      <c r="E342" s="8" t="s">
        <v>549</v>
      </c>
      <c r="F342" s="8" t="s">
        <v>549</v>
      </c>
      <c r="G342" s="8" t="s">
        <v>550</v>
      </c>
      <c r="H342" s="9">
        <v>2588</v>
      </c>
      <c r="I342" s="9">
        <v>748.84</v>
      </c>
      <c r="L342" s="8" t="s">
        <v>89</v>
      </c>
      <c r="M342" s="8" t="s">
        <v>43</v>
      </c>
      <c r="N342" s="8" t="s">
        <v>56</v>
      </c>
      <c r="O342" s="8" t="s">
        <v>14</v>
      </c>
      <c r="P342" s="8" t="s">
        <v>57</v>
      </c>
      <c r="Q342" s="8" t="s">
        <v>549</v>
      </c>
      <c r="R342" s="8" t="s">
        <v>33</v>
      </c>
      <c r="S342" s="8" t="s">
        <v>530</v>
      </c>
      <c r="T342" s="8" t="s">
        <v>40</v>
      </c>
      <c r="U342" s="8" t="s">
        <v>32</v>
      </c>
      <c r="V342" s="8" t="s">
        <v>32</v>
      </c>
      <c r="W342" s="8" t="s">
        <v>33</v>
      </c>
      <c r="X342" s="8" t="s">
        <v>33</v>
      </c>
      <c r="Y342" s="8" t="s">
        <v>33</v>
      </c>
      <c r="Z342" s="8" t="s">
        <v>33</v>
      </c>
      <c r="AA342" s="8" t="s">
        <v>33</v>
      </c>
      <c r="AB342" s="8" t="s">
        <v>32</v>
      </c>
      <c r="AC342" s="8" t="s">
        <v>33</v>
      </c>
      <c r="AD342" s="8" t="s">
        <v>32</v>
      </c>
      <c r="AE342" s="8" t="s">
        <v>32</v>
      </c>
      <c r="AF342" s="4">
        <f t="shared" si="10"/>
        <v>2588</v>
      </c>
      <c r="AG342" s="4">
        <f t="shared" si="11"/>
        <v>748.84</v>
      </c>
      <c r="AH342" s="5" t="s">
        <v>185</v>
      </c>
      <c r="AI342" s="11" t="s">
        <v>222</v>
      </c>
      <c r="AJ342" s="11" t="s">
        <v>208</v>
      </c>
      <c r="AK342" s="11" t="s">
        <v>235</v>
      </c>
    </row>
    <row r="343" spans="1:37" x14ac:dyDescent="0.3">
      <c r="A343" s="8" t="s">
        <v>94</v>
      </c>
      <c r="B343" s="8" t="s">
        <v>95</v>
      </c>
      <c r="C343" s="7">
        <v>45322</v>
      </c>
      <c r="D343" s="8" t="s">
        <v>514</v>
      </c>
      <c r="E343" s="8" t="s">
        <v>549</v>
      </c>
      <c r="F343" s="8" t="s">
        <v>549</v>
      </c>
      <c r="G343" s="8" t="s">
        <v>550</v>
      </c>
      <c r="H343" s="9">
        <v>958</v>
      </c>
      <c r="I343" s="9">
        <v>277.2</v>
      </c>
      <c r="L343" s="8" t="s">
        <v>89</v>
      </c>
      <c r="M343" s="8" t="s">
        <v>44</v>
      </c>
      <c r="N343" s="8" t="s">
        <v>56</v>
      </c>
      <c r="O343" s="8" t="s">
        <v>14</v>
      </c>
      <c r="P343" s="8" t="s">
        <v>57</v>
      </c>
      <c r="Q343" s="8" t="s">
        <v>549</v>
      </c>
      <c r="R343" s="8" t="s">
        <v>33</v>
      </c>
      <c r="S343" s="8" t="s">
        <v>530</v>
      </c>
      <c r="T343" s="8" t="s">
        <v>40</v>
      </c>
      <c r="U343" s="8" t="s">
        <v>32</v>
      </c>
      <c r="V343" s="8" t="s">
        <v>32</v>
      </c>
      <c r="W343" s="8" t="s">
        <v>33</v>
      </c>
      <c r="X343" s="8" t="s">
        <v>33</v>
      </c>
      <c r="Y343" s="8" t="s">
        <v>33</v>
      </c>
      <c r="Z343" s="8" t="s">
        <v>33</v>
      </c>
      <c r="AA343" s="8" t="s">
        <v>33</v>
      </c>
      <c r="AB343" s="8" t="s">
        <v>32</v>
      </c>
      <c r="AC343" s="8" t="s">
        <v>33</v>
      </c>
      <c r="AD343" s="8" t="s">
        <v>32</v>
      </c>
      <c r="AE343" s="8" t="s">
        <v>32</v>
      </c>
      <c r="AF343" s="4">
        <f t="shared" si="10"/>
        <v>958</v>
      </c>
      <c r="AG343" s="4">
        <f t="shared" si="11"/>
        <v>277.2</v>
      </c>
      <c r="AH343" s="5" t="s">
        <v>185</v>
      </c>
      <c r="AI343" s="11" t="s">
        <v>222</v>
      </c>
      <c r="AJ343" s="11" t="s">
        <v>208</v>
      </c>
      <c r="AK343" s="11" t="s">
        <v>235</v>
      </c>
    </row>
    <row r="344" spans="1:37" x14ac:dyDescent="0.3">
      <c r="A344" s="8" t="s">
        <v>94</v>
      </c>
      <c r="B344" s="8" t="s">
        <v>95</v>
      </c>
      <c r="C344" s="7">
        <v>45322</v>
      </c>
      <c r="D344" s="8" t="s">
        <v>514</v>
      </c>
      <c r="E344" s="8" t="s">
        <v>549</v>
      </c>
      <c r="F344" s="8" t="s">
        <v>549</v>
      </c>
      <c r="G344" s="8" t="s">
        <v>550</v>
      </c>
      <c r="H344" s="9">
        <v>1408</v>
      </c>
      <c r="I344" s="9">
        <v>407.41</v>
      </c>
      <c r="L344" s="8" t="s">
        <v>89</v>
      </c>
      <c r="M344" s="8" t="s">
        <v>45</v>
      </c>
      <c r="N344" s="8" t="s">
        <v>56</v>
      </c>
      <c r="O344" s="8" t="s">
        <v>14</v>
      </c>
      <c r="P344" s="8" t="s">
        <v>57</v>
      </c>
      <c r="Q344" s="8" t="s">
        <v>549</v>
      </c>
      <c r="R344" s="8" t="s">
        <v>33</v>
      </c>
      <c r="S344" s="8" t="s">
        <v>530</v>
      </c>
      <c r="T344" s="8" t="s">
        <v>40</v>
      </c>
      <c r="U344" s="8" t="s">
        <v>32</v>
      </c>
      <c r="V344" s="8" t="s">
        <v>32</v>
      </c>
      <c r="W344" s="8" t="s">
        <v>33</v>
      </c>
      <c r="X344" s="8" t="s">
        <v>33</v>
      </c>
      <c r="Y344" s="8" t="s">
        <v>33</v>
      </c>
      <c r="Z344" s="8" t="s">
        <v>33</v>
      </c>
      <c r="AA344" s="8" t="s">
        <v>33</v>
      </c>
      <c r="AB344" s="8" t="s">
        <v>32</v>
      </c>
      <c r="AC344" s="8" t="s">
        <v>33</v>
      </c>
      <c r="AD344" s="8" t="s">
        <v>32</v>
      </c>
      <c r="AE344" s="8" t="s">
        <v>32</v>
      </c>
      <c r="AF344" s="4">
        <f t="shared" si="10"/>
        <v>1408</v>
      </c>
      <c r="AG344" s="4">
        <f t="shared" si="11"/>
        <v>407.41</v>
      </c>
      <c r="AH344" s="5" t="s">
        <v>185</v>
      </c>
      <c r="AI344" s="11" t="s">
        <v>222</v>
      </c>
      <c r="AJ344" s="11" t="s">
        <v>208</v>
      </c>
      <c r="AK344" s="11" t="s">
        <v>235</v>
      </c>
    </row>
    <row r="345" spans="1:37" x14ac:dyDescent="0.3">
      <c r="A345" s="8" t="s">
        <v>94</v>
      </c>
      <c r="B345" s="8" t="s">
        <v>95</v>
      </c>
      <c r="C345" s="7">
        <v>45322</v>
      </c>
      <c r="D345" s="8" t="s">
        <v>514</v>
      </c>
      <c r="E345" s="8" t="s">
        <v>549</v>
      </c>
      <c r="F345" s="8" t="s">
        <v>549</v>
      </c>
      <c r="G345" s="8" t="s">
        <v>550</v>
      </c>
      <c r="H345" s="9">
        <v>889</v>
      </c>
      <c r="I345" s="9">
        <v>257.23</v>
      </c>
      <c r="L345" s="8" t="s">
        <v>89</v>
      </c>
      <c r="M345" s="8" t="s">
        <v>46</v>
      </c>
      <c r="N345" s="8" t="s">
        <v>56</v>
      </c>
      <c r="O345" s="8" t="s">
        <v>14</v>
      </c>
      <c r="P345" s="8" t="s">
        <v>57</v>
      </c>
      <c r="Q345" s="8" t="s">
        <v>549</v>
      </c>
      <c r="R345" s="8" t="s">
        <v>33</v>
      </c>
      <c r="S345" s="8" t="s">
        <v>530</v>
      </c>
      <c r="T345" s="8" t="s">
        <v>40</v>
      </c>
      <c r="U345" s="8" t="s">
        <v>32</v>
      </c>
      <c r="V345" s="8" t="s">
        <v>32</v>
      </c>
      <c r="W345" s="8" t="s">
        <v>33</v>
      </c>
      <c r="X345" s="8" t="s">
        <v>33</v>
      </c>
      <c r="Y345" s="8" t="s">
        <v>33</v>
      </c>
      <c r="Z345" s="8" t="s">
        <v>33</v>
      </c>
      <c r="AA345" s="8" t="s">
        <v>33</v>
      </c>
      <c r="AB345" s="8" t="s">
        <v>32</v>
      </c>
      <c r="AC345" s="8" t="s">
        <v>33</v>
      </c>
      <c r="AD345" s="8" t="s">
        <v>32</v>
      </c>
      <c r="AE345" s="8" t="s">
        <v>32</v>
      </c>
      <c r="AF345" s="4">
        <f t="shared" si="10"/>
        <v>889</v>
      </c>
      <c r="AG345" s="4">
        <f t="shared" si="11"/>
        <v>257.23</v>
      </c>
      <c r="AH345" s="5" t="s">
        <v>185</v>
      </c>
      <c r="AI345" s="11" t="s">
        <v>222</v>
      </c>
      <c r="AJ345" s="11" t="s">
        <v>208</v>
      </c>
      <c r="AK345" s="11" t="s">
        <v>235</v>
      </c>
    </row>
    <row r="346" spans="1:37" x14ac:dyDescent="0.3">
      <c r="A346" s="8" t="s">
        <v>94</v>
      </c>
      <c r="B346" s="8" t="s">
        <v>95</v>
      </c>
      <c r="C346" s="7">
        <v>45322</v>
      </c>
      <c r="D346" s="8" t="s">
        <v>515</v>
      </c>
      <c r="E346" s="8" t="s">
        <v>549</v>
      </c>
      <c r="F346" s="8" t="s">
        <v>549</v>
      </c>
      <c r="G346" s="8" t="s">
        <v>550</v>
      </c>
      <c r="H346">
        <v>6478</v>
      </c>
      <c r="I346" s="9">
        <v>1874.42</v>
      </c>
      <c r="J346" s="9"/>
      <c r="K346" s="9"/>
      <c r="L346" s="8" t="s">
        <v>89</v>
      </c>
      <c r="M346" s="8" t="s">
        <v>28</v>
      </c>
      <c r="N346" s="8" t="s">
        <v>56</v>
      </c>
      <c r="O346" s="8" t="s">
        <v>14</v>
      </c>
      <c r="P346" s="8" t="s">
        <v>57</v>
      </c>
      <c r="Q346" s="8" t="s">
        <v>549</v>
      </c>
      <c r="R346" s="8" t="s">
        <v>33</v>
      </c>
      <c r="S346" s="8" t="s">
        <v>530</v>
      </c>
      <c r="T346" s="8" t="s">
        <v>40</v>
      </c>
      <c r="U346" s="8" t="s">
        <v>32</v>
      </c>
      <c r="V346" s="8" t="s">
        <v>32</v>
      </c>
      <c r="W346" s="8" t="s">
        <v>33</v>
      </c>
      <c r="X346" s="8" t="s">
        <v>33</v>
      </c>
      <c r="Y346" s="8" t="s">
        <v>33</v>
      </c>
      <c r="Z346" s="8" t="s">
        <v>33</v>
      </c>
      <c r="AA346" s="8" t="s">
        <v>33</v>
      </c>
      <c r="AB346" s="8" t="s">
        <v>32</v>
      </c>
      <c r="AC346" s="8" t="s">
        <v>33</v>
      </c>
      <c r="AD346" s="8" t="s">
        <v>32</v>
      </c>
      <c r="AE346" s="8" t="s">
        <v>32</v>
      </c>
      <c r="AF346" s="4">
        <f t="shared" si="10"/>
        <v>6478</v>
      </c>
      <c r="AG346" s="4">
        <f t="shared" si="11"/>
        <v>1874.42</v>
      </c>
      <c r="AH346" s="5" t="s">
        <v>185</v>
      </c>
      <c r="AI346" s="11" t="s">
        <v>222</v>
      </c>
      <c r="AJ346" s="11" t="s">
        <v>208</v>
      </c>
      <c r="AK346" s="11" t="s">
        <v>235</v>
      </c>
    </row>
    <row r="347" spans="1:37" x14ac:dyDescent="0.3">
      <c r="A347" s="8" t="s">
        <v>90</v>
      </c>
      <c r="B347" s="8" t="s">
        <v>91</v>
      </c>
      <c r="C347" s="7">
        <v>45322</v>
      </c>
      <c r="D347" s="8" t="s">
        <v>516</v>
      </c>
      <c r="E347" s="8" t="s">
        <v>549</v>
      </c>
      <c r="F347" s="8" t="s">
        <v>549</v>
      </c>
      <c r="G347" s="8" t="s">
        <v>550</v>
      </c>
      <c r="H347" s="9">
        <v>4779</v>
      </c>
      <c r="I347" s="9">
        <v>1382.81</v>
      </c>
      <c r="L347" s="8" t="s">
        <v>120</v>
      </c>
      <c r="M347" s="8" t="s">
        <v>60</v>
      </c>
      <c r="N347" s="8" t="s">
        <v>56</v>
      </c>
      <c r="O347" s="8" t="s">
        <v>14</v>
      </c>
      <c r="P347" s="8" t="s">
        <v>57</v>
      </c>
      <c r="Q347" s="8" t="s">
        <v>549</v>
      </c>
      <c r="R347" s="8" t="s">
        <v>33</v>
      </c>
      <c r="S347" s="8" t="s">
        <v>530</v>
      </c>
      <c r="T347" s="8" t="s">
        <v>40</v>
      </c>
      <c r="U347" s="8" t="s">
        <v>32</v>
      </c>
      <c r="V347" s="8" t="s">
        <v>32</v>
      </c>
      <c r="W347" s="8" t="s">
        <v>33</v>
      </c>
      <c r="X347" s="8" t="s">
        <v>33</v>
      </c>
      <c r="Y347" s="8" t="s">
        <v>33</v>
      </c>
      <c r="Z347" s="8" t="s">
        <v>33</v>
      </c>
      <c r="AA347" s="8" t="s">
        <v>33</v>
      </c>
      <c r="AB347" s="8" t="s">
        <v>32</v>
      </c>
      <c r="AC347" s="8" t="s">
        <v>33</v>
      </c>
      <c r="AD347" s="8" t="s">
        <v>32</v>
      </c>
      <c r="AE347" s="8" t="s">
        <v>32</v>
      </c>
      <c r="AF347" s="4">
        <f t="shared" si="10"/>
        <v>4779</v>
      </c>
      <c r="AG347" s="4">
        <f t="shared" si="11"/>
        <v>1382.81</v>
      </c>
      <c r="AH347" s="5" t="s">
        <v>184</v>
      </c>
      <c r="AI347" s="11" t="s">
        <v>218</v>
      </c>
      <c r="AJ347" s="11" t="s">
        <v>546</v>
      </c>
      <c r="AK347" s="11" t="s">
        <v>237</v>
      </c>
    </row>
    <row r="348" spans="1:37" x14ac:dyDescent="0.3">
      <c r="A348" s="8" t="s">
        <v>154</v>
      </c>
      <c r="B348" s="8" t="s">
        <v>155</v>
      </c>
      <c r="C348" s="7">
        <v>45322</v>
      </c>
      <c r="D348" s="8" t="s">
        <v>516</v>
      </c>
      <c r="E348" s="8" t="s">
        <v>549</v>
      </c>
      <c r="F348" s="8" t="s">
        <v>549</v>
      </c>
      <c r="G348" s="8" t="s">
        <v>550</v>
      </c>
      <c r="H348" s="9">
        <v>1662</v>
      </c>
      <c r="I348" s="9">
        <v>480.9</v>
      </c>
      <c r="L348" s="8" t="s">
        <v>196</v>
      </c>
      <c r="M348" s="8" t="s">
        <v>66</v>
      </c>
      <c r="N348" s="8" t="s">
        <v>56</v>
      </c>
      <c r="O348" s="8" t="s">
        <v>14</v>
      </c>
      <c r="P348" s="8" t="s">
        <v>57</v>
      </c>
      <c r="Q348" s="8" t="s">
        <v>549</v>
      </c>
      <c r="R348" s="8" t="s">
        <v>33</v>
      </c>
      <c r="S348" s="8" t="s">
        <v>530</v>
      </c>
      <c r="T348" s="8" t="s">
        <v>40</v>
      </c>
      <c r="U348" s="8" t="s">
        <v>32</v>
      </c>
      <c r="V348" s="8" t="s">
        <v>32</v>
      </c>
      <c r="W348" s="8" t="s">
        <v>33</v>
      </c>
      <c r="X348" s="8" t="s">
        <v>33</v>
      </c>
      <c r="Y348" s="8" t="s">
        <v>33</v>
      </c>
      <c r="Z348" s="8" t="s">
        <v>33</v>
      </c>
      <c r="AA348" s="8" t="s">
        <v>33</v>
      </c>
      <c r="AB348" s="8" t="s">
        <v>32</v>
      </c>
      <c r="AC348" s="8" t="s">
        <v>33</v>
      </c>
      <c r="AD348" s="8" t="s">
        <v>32</v>
      </c>
      <c r="AE348" s="8" t="s">
        <v>32</v>
      </c>
      <c r="AF348" s="4">
        <f t="shared" si="10"/>
        <v>1662</v>
      </c>
      <c r="AG348" s="4">
        <f t="shared" si="11"/>
        <v>480.9</v>
      </c>
      <c r="AH348" s="5" t="s">
        <v>185</v>
      </c>
      <c r="AI348" s="11" t="s">
        <v>555</v>
      </c>
      <c r="AJ348" s="11" t="s">
        <v>523</v>
      </c>
      <c r="AK348" s="11" t="s">
        <v>236</v>
      </c>
    </row>
    <row r="349" spans="1:37" x14ac:dyDescent="0.3">
      <c r="A349" s="8" t="s">
        <v>154</v>
      </c>
      <c r="B349" s="8" t="s">
        <v>155</v>
      </c>
      <c r="C349" s="7">
        <v>45322</v>
      </c>
      <c r="D349" s="8" t="s">
        <v>516</v>
      </c>
      <c r="E349" s="8" t="s">
        <v>549</v>
      </c>
      <c r="F349" s="8" t="s">
        <v>549</v>
      </c>
      <c r="G349" s="8" t="s">
        <v>550</v>
      </c>
      <c r="H349" s="9">
        <v>2841</v>
      </c>
      <c r="I349" s="9">
        <v>822.05</v>
      </c>
      <c r="L349" s="8" t="s">
        <v>196</v>
      </c>
      <c r="M349" s="8" t="s">
        <v>67</v>
      </c>
      <c r="N349" s="8" t="s">
        <v>56</v>
      </c>
      <c r="O349" s="8" t="s">
        <v>14</v>
      </c>
      <c r="P349" s="8" t="s">
        <v>57</v>
      </c>
      <c r="Q349" s="8" t="s">
        <v>549</v>
      </c>
      <c r="R349" s="8" t="s">
        <v>33</v>
      </c>
      <c r="S349" s="8" t="s">
        <v>530</v>
      </c>
      <c r="T349" s="8" t="s">
        <v>40</v>
      </c>
      <c r="U349" s="8" t="s">
        <v>32</v>
      </c>
      <c r="V349" s="8" t="s">
        <v>32</v>
      </c>
      <c r="W349" s="8" t="s">
        <v>33</v>
      </c>
      <c r="X349" s="8" t="s">
        <v>33</v>
      </c>
      <c r="Y349" s="8" t="s">
        <v>33</v>
      </c>
      <c r="Z349" s="8" t="s">
        <v>33</v>
      </c>
      <c r="AA349" s="8" t="s">
        <v>33</v>
      </c>
      <c r="AB349" s="8" t="s">
        <v>32</v>
      </c>
      <c r="AC349" s="8" t="s">
        <v>33</v>
      </c>
      <c r="AD349" s="8" t="s">
        <v>32</v>
      </c>
      <c r="AE349" s="8" t="s">
        <v>32</v>
      </c>
      <c r="AF349" s="4">
        <f t="shared" si="10"/>
        <v>2841</v>
      </c>
      <c r="AG349" s="4">
        <f t="shared" si="11"/>
        <v>822.05</v>
      </c>
      <c r="AH349" s="5" t="s">
        <v>185</v>
      </c>
      <c r="AI349" s="11" t="s">
        <v>555</v>
      </c>
      <c r="AJ349" s="11" t="s">
        <v>523</v>
      </c>
      <c r="AK349" s="11" t="s">
        <v>236</v>
      </c>
    </row>
    <row r="350" spans="1:37" x14ac:dyDescent="0.3">
      <c r="A350" s="8" t="s">
        <v>90</v>
      </c>
      <c r="B350" s="8" t="s">
        <v>91</v>
      </c>
      <c r="C350" s="7">
        <v>45322</v>
      </c>
      <c r="D350" s="8" t="s">
        <v>516</v>
      </c>
      <c r="E350" s="8" t="s">
        <v>549</v>
      </c>
      <c r="F350" s="8" t="s">
        <v>549</v>
      </c>
      <c r="G350" s="8" t="s">
        <v>550</v>
      </c>
      <c r="H350" s="9">
        <v>4454</v>
      </c>
      <c r="I350" s="9">
        <v>1288.77</v>
      </c>
      <c r="L350" s="8" t="s">
        <v>119</v>
      </c>
      <c r="M350" s="8" t="s">
        <v>65</v>
      </c>
      <c r="N350" s="8" t="s">
        <v>56</v>
      </c>
      <c r="O350" s="8" t="s">
        <v>14</v>
      </c>
      <c r="P350" s="8" t="s">
        <v>57</v>
      </c>
      <c r="Q350" s="8" t="s">
        <v>549</v>
      </c>
      <c r="R350" s="8" t="s">
        <v>33</v>
      </c>
      <c r="S350" s="8" t="s">
        <v>530</v>
      </c>
      <c r="T350" s="8" t="s">
        <v>40</v>
      </c>
      <c r="U350" s="8" t="s">
        <v>32</v>
      </c>
      <c r="V350" s="8" t="s">
        <v>32</v>
      </c>
      <c r="W350" s="8" t="s">
        <v>33</v>
      </c>
      <c r="X350" s="8" t="s">
        <v>33</v>
      </c>
      <c r="Y350" s="8" t="s">
        <v>33</v>
      </c>
      <c r="Z350" s="8" t="s">
        <v>33</v>
      </c>
      <c r="AA350" s="8" t="s">
        <v>33</v>
      </c>
      <c r="AB350" s="8" t="s">
        <v>32</v>
      </c>
      <c r="AC350" s="8" t="s">
        <v>33</v>
      </c>
      <c r="AD350" s="8" t="s">
        <v>32</v>
      </c>
      <c r="AE350" s="8" t="s">
        <v>32</v>
      </c>
      <c r="AF350" s="4">
        <f t="shared" si="10"/>
        <v>4454</v>
      </c>
      <c r="AG350" s="4">
        <f t="shared" si="11"/>
        <v>1288.77</v>
      </c>
      <c r="AH350" s="5" t="s">
        <v>184</v>
      </c>
      <c r="AI350" s="11" t="s">
        <v>218</v>
      </c>
      <c r="AJ350" s="11" t="s">
        <v>541</v>
      </c>
      <c r="AK350" s="11" t="s">
        <v>237</v>
      </c>
    </row>
    <row r="351" spans="1:37" x14ac:dyDescent="0.3">
      <c r="A351" s="8" t="s">
        <v>90</v>
      </c>
      <c r="B351" s="8" t="s">
        <v>91</v>
      </c>
      <c r="C351" s="7">
        <v>45322</v>
      </c>
      <c r="D351" s="8" t="s">
        <v>516</v>
      </c>
      <c r="E351" s="8" t="s">
        <v>549</v>
      </c>
      <c r="F351" s="8" t="s">
        <v>549</v>
      </c>
      <c r="G351" s="8" t="s">
        <v>550</v>
      </c>
      <c r="H351" s="9">
        <v>7432</v>
      </c>
      <c r="I351" s="9">
        <v>2150.46</v>
      </c>
      <c r="L351" s="8" t="s">
        <v>119</v>
      </c>
      <c r="M351" s="8" t="s">
        <v>68</v>
      </c>
      <c r="N351" s="8" t="s">
        <v>56</v>
      </c>
      <c r="O351" s="8" t="s">
        <v>14</v>
      </c>
      <c r="P351" s="8" t="s">
        <v>57</v>
      </c>
      <c r="Q351" s="8" t="s">
        <v>549</v>
      </c>
      <c r="R351" s="8" t="s">
        <v>33</v>
      </c>
      <c r="S351" s="8" t="s">
        <v>530</v>
      </c>
      <c r="T351" s="8" t="s">
        <v>40</v>
      </c>
      <c r="U351" s="8" t="s">
        <v>32</v>
      </c>
      <c r="V351" s="8" t="s">
        <v>32</v>
      </c>
      <c r="W351" s="8" t="s">
        <v>33</v>
      </c>
      <c r="X351" s="8" t="s">
        <v>33</v>
      </c>
      <c r="Y351" s="8" t="s">
        <v>33</v>
      </c>
      <c r="Z351" s="8" t="s">
        <v>33</v>
      </c>
      <c r="AA351" s="8" t="s">
        <v>33</v>
      </c>
      <c r="AB351" s="8" t="s">
        <v>32</v>
      </c>
      <c r="AC351" s="8" t="s">
        <v>33</v>
      </c>
      <c r="AD351" s="8" t="s">
        <v>32</v>
      </c>
      <c r="AE351" s="8" t="s">
        <v>32</v>
      </c>
      <c r="AF351" s="4">
        <f t="shared" si="10"/>
        <v>7432</v>
      </c>
      <c r="AG351" s="4">
        <f t="shared" si="11"/>
        <v>2150.46</v>
      </c>
      <c r="AH351" s="5" t="s">
        <v>184</v>
      </c>
      <c r="AI351" s="11" t="s">
        <v>218</v>
      </c>
      <c r="AJ351" s="11" t="s">
        <v>541</v>
      </c>
      <c r="AK351" s="11" t="s">
        <v>237</v>
      </c>
    </row>
    <row r="352" spans="1:37" x14ac:dyDescent="0.3">
      <c r="A352" s="8" t="s">
        <v>180</v>
      </c>
      <c r="B352" s="8" t="s">
        <v>181</v>
      </c>
      <c r="C352" s="7">
        <v>45322</v>
      </c>
      <c r="D352" s="8" t="s">
        <v>516</v>
      </c>
      <c r="E352" s="8" t="s">
        <v>549</v>
      </c>
      <c r="F352" s="8" t="s">
        <v>549</v>
      </c>
      <c r="G352" s="8" t="s">
        <v>550</v>
      </c>
      <c r="H352" s="9">
        <v>3635</v>
      </c>
      <c r="I352" s="9">
        <v>1051.79</v>
      </c>
      <c r="L352" s="8" t="s">
        <v>119</v>
      </c>
      <c r="M352" s="8" t="s">
        <v>70</v>
      </c>
      <c r="N352" s="8" t="s">
        <v>56</v>
      </c>
      <c r="O352" s="8" t="s">
        <v>14</v>
      </c>
      <c r="P352" s="8" t="s">
        <v>57</v>
      </c>
      <c r="Q352" s="8" t="s">
        <v>549</v>
      </c>
      <c r="R352" s="8" t="s">
        <v>33</v>
      </c>
      <c r="S352" s="8" t="s">
        <v>530</v>
      </c>
      <c r="T352" s="8" t="s">
        <v>40</v>
      </c>
      <c r="U352" s="8" t="s">
        <v>32</v>
      </c>
      <c r="V352" s="8" t="s">
        <v>32</v>
      </c>
      <c r="W352" s="8" t="s">
        <v>33</v>
      </c>
      <c r="X352" s="8" t="s">
        <v>33</v>
      </c>
      <c r="Y352" s="8" t="s">
        <v>33</v>
      </c>
      <c r="Z352" s="8" t="s">
        <v>33</v>
      </c>
      <c r="AA352" s="8" t="s">
        <v>33</v>
      </c>
      <c r="AB352" s="8" t="s">
        <v>32</v>
      </c>
      <c r="AC352" s="8" t="s">
        <v>33</v>
      </c>
      <c r="AD352" s="8" t="s">
        <v>32</v>
      </c>
      <c r="AE352" s="8" t="s">
        <v>32</v>
      </c>
      <c r="AF352" s="4">
        <f t="shared" si="10"/>
        <v>3635</v>
      </c>
      <c r="AG352" s="4">
        <f t="shared" si="11"/>
        <v>1051.79</v>
      </c>
      <c r="AH352" s="5" t="s">
        <v>184</v>
      </c>
      <c r="AI352" s="11" t="s">
        <v>234</v>
      </c>
      <c r="AJ352" s="11" t="s">
        <v>541</v>
      </c>
      <c r="AK352" s="11" t="s">
        <v>237</v>
      </c>
    </row>
    <row r="353" spans="1:37" x14ac:dyDescent="0.3">
      <c r="A353" s="8" t="s">
        <v>180</v>
      </c>
      <c r="B353" s="8" t="s">
        <v>181</v>
      </c>
      <c r="C353" s="7">
        <v>45322</v>
      </c>
      <c r="D353" s="8" t="s">
        <v>516</v>
      </c>
      <c r="E353" s="8" t="s">
        <v>549</v>
      </c>
      <c r="F353" s="8" t="s">
        <v>549</v>
      </c>
      <c r="G353" s="8" t="s">
        <v>550</v>
      </c>
      <c r="H353" s="9">
        <v>3752</v>
      </c>
      <c r="I353" s="9">
        <v>1085.6500000000001</v>
      </c>
      <c r="L353" s="8" t="s">
        <v>119</v>
      </c>
      <c r="M353" s="8" t="s">
        <v>71</v>
      </c>
      <c r="N353" s="8" t="s">
        <v>56</v>
      </c>
      <c r="O353" s="8" t="s">
        <v>14</v>
      </c>
      <c r="P353" s="8" t="s">
        <v>57</v>
      </c>
      <c r="Q353" s="8" t="s">
        <v>549</v>
      </c>
      <c r="R353" s="8" t="s">
        <v>33</v>
      </c>
      <c r="S353" s="8" t="s">
        <v>530</v>
      </c>
      <c r="T353" s="8" t="s">
        <v>40</v>
      </c>
      <c r="U353" s="8" t="s">
        <v>32</v>
      </c>
      <c r="V353" s="8" t="s">
        <v>32</v>
      </c>
      <c r="W353" s="8" t="s">
        <v>33</v>
      </c>
      <c r="X353" s="8" t="s">
        <v>33</v>
      </c>
      <c r="Y353" s="8" t="s">
        <v>33</v>
      </c>
      <c r="Z353" s="8" t="s">
        <v>33</v>
      </c>
      <c r="AA353" s="8" t="s">
        <v>33</v>
      </c>
      <c r="AB353" s="8" t="s">
        <v>32</v>
      </c>
      <c r="AC353" s="8" t="s">
        <v>33</v>
      </c>
      <c r="AD353" s="8" t="s">
        <v>32</v>
      </c>
      <c r="AE353" s="8" t="s">
        <v>32</v>
      </c>
      <c r="AF353" s="4">
        <f t="shared" si="10"/>
        <v>3752</v>
      </c>
      <c r="AG353" s="4">
        <f t="shared" si="11"/>
        <v>1085.6500000000001</v>
      </c>
      <c r="AH353" s="5" t="s">
        <v>184</v>
      </c>
      <c r="AI353" s="11" t="s">
        <v>234</v>
      </c>
      <c r="AJ353" s="11" t="s">
        <v>541</v>
      </c>
      <c r="AK353" s="11" t="s">
        <v>237</v>
      </c>
    </row>
    <row r="354" spans="1:37" x14ac:dyDescent="0.3">
      <c r="A354" s="8" t="s">
        <v>180</v>
      </c>
      <c r="B354" s="8" t="s">
        <v>181</v>
      </c>
      <c r="C354" s="7">
        <v>45322</v>
      </c>
      <c r="D354" s="8" t="s">
        <v>516</v>
      </c>
      <c r="E354" s="8" t="s">
        <v>549</v>
      </c>
      <c r="F354" s="8" t="s">
        <v>549</v>
      </c>
      <c r="G354" s="8" t="s">
        <v>550</v>
      </c>
      <c r="H354" s="9">
        <v>3195</v>
      </c>
      <c r="I354" s="9">
        <v>924.48</v>
      </c>
      <c r="L354" s="8" t="s">
        <v>119</v>
      </c>
      <c r="M354" s="8" t="s">
        <v>72</v>
      </c>
      <c r="N354" s="8" t="s">
        <v>56</v>
      </c>
      <c r="O354" s="8" t="s">
        <v>14</v>
      </c>
      <c r="P354" s="8" t="s">
        <v>57</v>
      </c>
      <c r="Q354" s="8" t="s">
        <v>549</v>
      </c>
      <c r="R354" s="8" t="s">
        <v>33</v>
      </c>
      <c r="S354" s="8" t="s">
        <v>530</v>
      </c>
      <c r="T354" s="8" t="s">
        <v>40</v>
      </c>
      <c r="U354" s="8" t="s">
        <v>32</v>
      </c>
      <c r="V354" s="8" t="s">
        <v>32</v>
      </c>
      <c r="W354" s="8" t="s">
        <v>33</v>
      </c>
      <c r="X354" s="8" t="s">
        <v>33</v>
      </c>
      <c r="Y354" s="8" t="s">
        <v>33</v>
      </c>
      <c r="Z354" s="8" t="s">
        <v>33</v>
      </c>
      <c r="AA354" s="8" t="s">
        <v>33</v>
      </c>
      <c r="AB354" s="8" t="s">
        <v>32</v>
      </c>
      <c r="AC354" s="8" t="s">
        <v>33</v>
      </c>
      <c r="AD354" s="8" t="s">
        <v>32</v>
      </c>
      <c r="AE354" s="8" t="s">
        <v>32</v>
      </c>
      <c r="AF354" s="4">
        <f t="shared" si="10"/>
        <v>3195</v>
      </c>
      <c r="AG354" s="4">
        <f t="shared" si="11"/>
        <v>924.48</v>
      </c>
      <c r="AH354" s="5" t="s">
        <v>184</v>
      </c>
      <c r="AI354" s="11" t="s">
        <v>234</v>
      </c>
      <c r="AJ354" s="11" t="s">
        <v>541</v>
      </c>
      <c r="AK354" s="11" t="s">
        <v>237</v>
      </c>
    </row>
    <row r="355" spans="1:37" x14ac:dyDescent="0.3">
      <c r="A355" s="8" t="s">
        <v>180</v>
      </c>
      <c r="B355" s="8" t="s">
        <v>181</v>
      </c>
      <c r="C355" s="7">
        <v>45322</v>
      </c>
      <c r="D355" s="8" t="s">
        <v>516</v>
      </c>
      <c r="E355" s="8" t="s">
        <v>549</v>
      </c>
      <c r="F355" s="8" t="s">
        <v>549</v>
      </c>
      <c r="G355" s="8" t="s">
        <v>550</v>
      </c>
      <c r="H355" s="9">
        <v>2415</v>
      </c>
      <c r="I355" s="9">
        <v>698.78</v>
      </c>
      <c r="L355" s="8" t="s">
        <v>119</v>
      </c>
      <c r="M355" s="8" t="s">
        <v>73</v>
      </c>
      <c r="N355" s="8" t="s">
        <v>56</v>
      </c>
      <c r="O355" s="8" t="s">
        <v>14</v>
      </c>
      <c r="P355" s="8" t="s">
        <v>57</v>
      </c>
      <c r="Q355" s="8" t="s">
        <v>549</v>
      </c>
      <c r="R355" s="8" t="s">
        <v>33</v>
      </c>
      <c r="S355" s="8" t="s">
        <v>530</v>
      </c>
      <c r="T355" s="8" t="s">
        <v>40</v>
      </c>
      <c r="U355" s="8" t="s">
        <v>32</v>
      </c>
      <c r="V355" s="8" t="s">
        <v>32</v>
      </c>
      <c r="W355" s="8" t="s">
        <v>33</v>
      </c>
      <c r="X355" s="8" t="s">
        <v>33</v>
      </c>
      <c r="Y355" s="8" t="s">
        <v>33</v>
      </c>
      <c r="Z355" s="8" t="s">
        <v>33</v>
      </c>
      <c r="AA355" s="8" t="s">
        <v>33</v>
      </c>
      <c r="AB355" s="8" t="s">
        <v>32</v>
      </c>
      <c r="AC355" s="8" t="s">
        <v>33</v>
      </c>
      <c r="AD355" s="8" t="s">
        <v>32</v>
      </c>
      <c r="AE355" s="8" t="s">
        <v>32</v>
      </c>
      <c r="AF355" s="4">
        <f t="shared" si="10"/>
        <v>2415</v>
      </c>
      <c r="AG355" s="4">
        <f t="shared" si="11"/>
        <v>698.78</v>
      </c>
      <c r="AH355" s="5" t="s">
        <v>184</v>
      </c>
      <c r="AI355" s="11" t="s">
        <v>234</v>
      </c>
      <c r="AJ355" s="11" t="s">
        <v>541</v>
      </c>
      <c r="AK355" s="11" t="s">
        <v>237</v>
      </c>
    </row>
    <row r="356" spans="1:37" x14ac:dyDescent="0.3">
      <c r="A356" s="8" t="s">
        <v>109</v>
      </c>
      <c r="B356" s="8" t="s">
        <v>110</v>
      </c>
      <c r="C356" s="7">
        <v>45322</v>
      </c>
      <c r="D356" s="8" t="s">
        <v>516</v>
      </c>
      <c r="E356" s="8" t="s">
        <v>549</v>
      </c>
      <c r="F356" s="8" t="s">
        <v>549</v>
      </c>
      <c r="G356" s="8" t="s">
        <v>550</v>
      </c>
      <c r="H356" s="9">
        <v>6870</v>
      </c>
      <c r="I356" s="9">
        <v>1987.85</v>
      </c>
      <c r="L356" s="8" t="s">
        <v>197</v>
      </c>
      <c r="M356" s="8" t="s">
        <v>74</v>
      </c>
      <c r="N356" s="8" t="s">
        <v>56</v>
      </c>
      <c r="O356" s="8" t="s">
        <v>14</v>
      </c>
      <c r="P356" s="8" t="s">
        <v>57</v>
      </c>
      <c r="Q356" s="8" t="s">
        <v>549</v>
      </c>
      <c r="R356" s="8" t="s">
        <v>33</v>
      </c>
      <c r="S356" s="8" t="s">
        <v>530</v>
      </c>
      <c r="T356" s="8" t="s">
        <v>40</v>
      </c>
      <c r="U356" s="8" t="s">
        <v>32</v>
      </c>
      <c r="V356" s="8" t="s">
        <v>32</v>
      </c>
      <c r="W356" s="8" t="s">
        <v>33</v>
      </c>
      <c r="X356" s="8" t="s">
        <v>33</v>
      </c>
      <c r="Y356" s="8" t="s">
        <v>33</v>
      </c>
      <c r="Z356" s="8" t="s">
        <v>33</v>
      </c>
      <c r="AA356" s="8" t="s">
        <v>33</v>
      </c>
      <c r="AB356" s="8" t="s">
        <v>32</v>
      </c>
      <c r="AC356" s="8" t="s">
        <v>33</v>
      </c>
      <c r="AD356" s="8" t="s">
        <v>32</v>
      </c>
      <c r="AE356" s="8" t="s">
        <v>32</v>
      </c>
      <c r="AF356" s="4">
        <f t="shared" si="10"/>
        <v>6870</v>
      </c>
      <c r="AG356" s="4">
        <f t="shared" si="11"/>
        <v>1987.85</v>
      </c>
      <c r="AH356" s="5" t="s">
        <v>185</v>
      </c>
      <c r="AI356" s="11" t="s">
        <v>225</v>
      </c>
      <c r="AJ356" s="11" t="s">
        <v>522</v>
      </c>
      <c r="AK356" s="11" t="s">
        <v>236</v>
      </c>
    </row>
    <row r="357" spans="1:37" x14ac:dyDescent="0.3">
      <c r="A357" s="8" t="s">
        <v>148</v>
      </c>
      <c r="B357" s="8" t="s">
        <v>149</v>
      </c>
      <c r="C357" s="7">
        <v>45322</v>
      </c>
      <c r="D357" s="8" t="s">
        <v>517</v>
      </c>
      <c r="E357" s="8" t="s">
        <v>549</v>
      </c>
      <c r="F357" s="8" t="s">
        <v>549</v>
      </c>
      <c r="G357" s="8" t="s">
        <v>550</v>
      </c>
      <c r="H357">
        <v>6758</v>
      </c>
      <c r="I357" s="9">
        <v>1955.44</v>
      </c>
      <c r="J357" s="9"/>
      <c r="K357" s="9"/>
      <c r="L357" s="8" t="s">
        <v>77</v>
      </c>
      <c r="M357" s="8" t="s">
        <v>61</v>
      </c>
      <c r="N357" s="8" t="s">
        <v>56</v>
      </c>
      <c r="O357" s="8" t="s">
        <v>14</v>
      </c>
      <c r="P357" s="8" t="s">
        <v>57</v>
      </c>
      <c r="Q357" s="8" t="s">
        <v>549</v>
      </c>
      <c r="R357" s="8" t="s">
        <v>33</v>
      </c>
      <c r="S357" s="8" t="s">
        <v>530</v>
      </c>
      <c r="T357" s="8" t="s">
        <v>40</v>
      </c>
      <c r="U357" s="8" t="s">
        <v>32</v>
      </c>
      <c r="V357" s="8" t="s">
        <v>32</v>
      </c>
      <c r="W357" s="8" t="s">
        <v>33</v>
      </c>
      <c r="X357" s="8" t="s">
        <v>33</v>
      </c>
      <c r="Y357" s="8" t="s">
        <v>33</v>
      </c>
      <c r="Z357" s="8" t="s">
        <v>33</v>
      </c>
      <c r="AA357" s="8" t="s">
        <v>33</v>
      </c>
      <c r="AB357" s="8" t="s">
        <v>32</v>
      </c>
      <c r="AC357" s="8" t="s">
        <v>33</v>
      </c>
      <c r="AD357" s="8" t="s">
        <v>32</v>
      </c>
      <c r="AE357" s="8" t="s">
        <v>32</v>
      </c>
      <c r="AF357" s="4">
        <f t="shared" si="10"/>
        <v>6758</v>
      </c>
      <c r="AG357" s="4">
        <f t="shared" si="11"/>
        <v>1955.44</v>
      </c>
      <c r="AH357" s="5" t="s">
        <v>185</v>
      </c>
      <c r="AI357" s="11" t="s">
        <v>228</v>
      </c>
      <c r="AJ357" s="11" t="s">
        <v>211</v>
      </c>
      <c r="AK357" s="11" t="s">
        <v>235</v>
      </c>
    </row>
    <row r="358" spans="1:37" x14ac:dyDescent="0.3">
      <c r="A358" s="8" t="s">
        <v>148</v>
      </c>
      <c r="B358" s="8" t="s">
        <v>149</v>
      </c>
      <c r="C358" s="7">
        <v>45322</v>
      </c>
      <c r="D358" s="8" t="s">
        <v>517</v>
      </c>
      <c r="E358" s="8" t="s">
        <v>549</v>
      </c>
      <c r="F358" s="8" t="s">
        <v>549</v>
      </c>
      <c r="G358" s="8" t="s">
        <v>550</v>
      </c>
      <c r="H358">
        <v>7836</v>
      </c>
      <c r="I358" s="9">
        <v>2267.36</v>
      </c>
      <c r="J358" s="9"/>
      <c r="K358" s="9"/>
      <c r="L358" s="8" t="s">
        <v>77</v>
      </c>
      <c r="M358" s="8" t="s">
        <v>69</v>
      </c>
      <c r="N358" s="8" t="s">
        <v>56</v>
      </c>
      <c r="O358" s="8" t="s">
        <v>14</v>
      </c>
      <c r="P358" s="8" t="s">
        <v>57</v>
      </c>
      <c r="Q358" s="8" t="s">
        <v>549</v>
      </c>
      <c r="R358" s="8" t="s">
        <v>33</v>
      </c>
      <c r="S358" s="8" t="s">
        <v>530</v>
      </c>
      <c r="T358" s="8" t="s">
        <v>40</v>
      </c>
      <c r="U358" s="8" t="s">
        <v>32</v>
      </c>
      <c r="V358" s="8" t="s">
        <v>32</v>
      </c>
      <c r="W358" s="8" t="s">
        <v>33</v>
      </c>
      <c r="X358" s="8" t="s">
        <v>33</v>
      </c>
      <c r="Y358" s="8" t="s">
        <v>33</v>
      </c>
      <c r="Z358" s="8" t="s">
        <v>33</v>
      </c>
      <c r="AA358" s="8" t="s">
        <v>33</v>
      </c>
      <c r="AB358" s="8" t="s">
        <v>32</v>
      </c>
      <c r="AC358" s="8" t="s">
        <v>33</v>
      </c>
      <c r="AD358" s="8" t="s">
        <v>32</v>
      </c>
      <c r="AE358" s="8" t="s">
        <v>32</v>
      </c>
      <c r="AF358" s="4">
        <f t="shared" si="10"/>
        <v>7836</v>
      </c>
      <c r="AG358" s="4">
        <f t="shared" si="11"/>
        <v>2267.36</v>
      </c>
      <c r="AH358" s="5" t="s">
        <v>185</v>
      </c>
      <c r="AI358" s="11" t="s">
        <v>228</v>
      </c>
      <c r="AJ358" s="11" t="s">
        <v>211</v>
      </c>
      <c r="AK358" s="11" t="s">
        <v>235</v>
      </c>
    </row>
    <row r="359" spans="1:37" x14ac:dyDescent="0.3">
      <c r="A359" s="8" t="s">
        <v>150</v>
      </c>
      <c r="B359" s="8" t="s">
        <v>151</v>
      </c>
      <c r="C359" s="7">
        <v>45322</v>
      </c>
      <c r="D359" s="8" t="s">
        <v>518</v>
      </c>
      <c r="E359" s="8" t="s">
        <v>549</v>
      </c>
      <c r="F359" s="8" t="s">
        <v>549</v>
      </c>
      <c r="G359" s="8" t="s">
        <v>550</v>
      </c>
      <c r="H359">
        <v>2154</v>
      </c>
      <c r="I359" s="9">
        <v>623.26</v>
      </c>
      <c r="J359" s="9"/>
      <c r="K359" s="9"/>
      <c r="L359" s="8" t="s">
        <v>119</v>
      </c>
      <c r="M359" s="8" t="s">
        <v>34</v>
      </c>
      <c r="N359" s="8" t="s">
        <v>56</v>
      </c>
      <c r="O359" s="8" t="s">
        <v>14</v>
      </c>
      <c r="P359" s="8" t="s">
        <v>57</v>
      </c>
      <c r="Q359" s="8" t="s">
        <v>549</v>
      </c>
      <c r="R359" s="8" t="s">
        <v>33</v>
      </c>
      <c r="S359" s="8" t="s">
        <v>530</v>
      </c>
      <c r="T359" s="8" t="s">
        <v>40</v>
      </c>
      <c r="U359" s="8" t="s">
        <v>424</v>
      </c>
      <c r="V359" s="8" t="s">
        <v>32</v>
      </c>
      <c r="W359" s="8" t="s">
        <v>33</v>
      </c>
      <c r="X359" s="8" t="s">
        <v>33</v>
      </c>
      <c r="Y359" s="8" t="s">
        <v>33</v>
      </c>
      <c r="Z359" s="8" t="s">
        <v>33</v>
      </c>
      <c r="AA359" s="8" t="s">
        <v>33</v>
      </c>
      <c r="AB359" s="8" t="s">
        <v>32</v>
      </c>
      <c r="AC359" s="8" t="s">
        <v>33</v>
      </c>
      <c r="AD359" s="8" t="s">
        <v>32</v>
      </c>
      <c r="AE359" s="8" t="s">
        <v>32</v>
      </c>
      <c r="AF359" s="4">
        <f t="shared" si="10"/>
        <v>2154</v>
      </c>
      <c r="AG359" s="4">
        <f t="shared" si="11"/>
        <v>623.26</v>
      </c>
      <c r="AH359" s="5" t="s">
        <v>184</v>
      </c>
      <c r="AI359" s="11" t="s">
        <v>551</v>
      </c>
      <c r="AJ359" s="11" t="s">
        <v>541</v>
      </c>
      <c r="AK359" s="11" t="s">
        <v>237</v>
      </c>
    </row>
    <row r="360" spans="1:37" x14ac:dyDescent="0.3">
      <c r="A360" s="8" t="s">
        <v>150</v>
      </c>
      <c r="B360" s="8" t="s">
        <v>151</v>
      </c>
      <c r="C360" s="7">
        <v>45322</v>
      </c>
      <c r="D360" s="8" t="s">
        <v>518</v>
      </c>
      <c r="E360" s="8" t="s">
        <v>549</v>
      </c>
      <c r="F360" s="8" t="s">
        <v>549</v>
      </c>
      <c r="G360" s="8" t="s">
        <v>550</v>
      </c>
      <c r="H360">
        <v>5471</v>
      </c>
      <c r="I360" s="9">
        <v>1583.04</v>
      </c>
      <c r="J360" s="9"/>
      <c r="K360" s="9"/>
      <c r="L360" s="8" t="s">
        <v>119</v>
      </c>
      <c r="M360" s="8" t="s">
        <v>39</v>
      </c>
      <c r="N360" s="8" t="s">
        <v>56</v>
      </c>
      <c r="O360" s="8" t="s">
        <v>14</v>
      </c>
      <c r="P360" s="8" t="s">
        <v>57</v>
      </c>
      <c r="Q360" s="8" t="s">
        <v>549</v>
      </c>
      <c r="R360" s="8" t="s">
        <v>33</v>
      </c>
      <c r="S360" s="8" t="s">
        <v>530</v>
      </c>
      <c r="T360" s="8" t="s">
        <v>40</v>
      </c>
      <c r="U360" s="8" t="s">
        <v>424</v>
      </c>
      <c r="V360" s="8" t="s">
        <v>32</v>
      </c>
      <c r="W360" s="8" t="s">
        <v>33</v>
      </c>
      <c r="X360" s="8" t="s">
        <v>33</v>
      </c>
      <c r="Y360" s="8" t="s">
        <v>33</v>
      </c>
      <c r="Z360" s="8" t="s">
        <v>33</v>
      </c>
      <c r="AA360" s="8" t="s">
        <v>33</v>
      </c>
      <c r="AB360" s="8" t="s">
        <v>32</v>
      </c>
      <c r="AC360" s="8" t="s">
        <v>33</v>
      </c>
      <c r="AD360" s="8" t="s">
        <v>32</v>
      </c>
      <c r="AE360" s="8" t="s">
        <v>32</v>
      </c>
      <c r="AF360" s="4">
        <f t="shared" si="10"/>
        <v>5471</v>
      </c>
      <c r="AG360" s="4">
        <f t="shared" si="11"/>
        <v>1583.04</v>
      </c>
      <c r="AH360" s="5" t="s">
        <v>184</v>
      </c>
      <c r="AI360" s="11" t="s">
        <v>551</v>
      </c>
      <c r="AJ360" s="11" t="s">
        <v>541</v>
      </c>
      <c r="AK360" s="11" t="s">
        <v>237</v>
      </c>
    </row>
    <row r="361" spans="1:37" x14ac:dyDescent="0.3">
      <c r="A361" s="8" t="s">
        <v>174</v>
      </c>
      <c r="B361" s="8" t="s">
        <v>175</v>
      </c>
      <c r="C361" s="7">
        <v>45322</v>
      </c>
      <c r="D361" s="8" t="s">
        <v>519</v>
      </c>
      <c r="E361" s="8" t="s">
        <v>549</v>
      </c>
      <c r="F361" s="8" t="s">
        <v>549</v>
      </c>
      <c r="G361" s="8" t="s">
        <v>550</v>
      </c>
      <c r="H361">
        <v>4453</v>
      </c>
      <c r="I361" s="9">
        <v>1288.48</v>
      </c>
      <c r="J361" s="9"/>
      <c r="K361" s="9"/>
      <c r="L361" s="8" t="s">
        <v>119</v>
      </c>
      <c r="M361" s="8" t="s">
        <v>34</v>
      </c>
      <c r="N361" s="8" t="s">
        <v>56</v>
      </c>
      <c r="O361" s="8" t="s">
        <v>14</v>
      </c>
      <c r="P361" s="8" t="s">
        <v>57</v>
      </c>
      <c r="Q361" s="8" t="s">
        <v>549</v>
      </c>
      <c r="R361" s="8" t="s">
        <v>33</v>
      </c>
      <c r="S361" s="8" t="s">
        <v>530</v>
      </c>
      <c r="T361" s="8" t="s">
        <v>40</v>
      </c>
      <c r="U361" s="8" t="s">
        <v>32</v>
      </c>
      <c r="V361" s="8" t="s">
        <v>32</v>
      </c>
      <c r="W361" s="8" t="s">
        <v>33</v>
      </c>
      <c r="X361" s="8" t="s">
        <v>33</v>
      </c>
      <c r="Y361" s="8" t="s">
        <v>33</v>
      </c>
      <c r="Z361" s="8" t="s">
        <v>33</v>
      </c>
      <c r="AA361" s="8" t="s">
        <v>33</v>
      </c>
      <c r="AB361" s="8" t="s">
        <v>32</v>
      </c>
      <c r="AC361" s="8" t="s">
        <v>33</v>
      </c>
      <c r="AD361" s="8" t="s">
        <v>32</v>
      </c>
      <c r="AE361" s="8" t="s">
        <v>32</v>
      </c>
      <c r="AF361" s="4">
        <f t="shared" si="10"/>
        <v>4453</v>
      </c>
      <c r="AG361" s="4">
        <f t="shared" si="11"/>
        <v>1288.48</v>
      </c>
      <c r="AH361" s="5" t="s">
        <v>184</v>
      </c>
      <c r="AI361" s="11" t="s">
        <v>551</v>
      </c>
      <c r="AJ361" s="11" t="s">
        <v>541</v>
      </c>
      <c r="AK361" s="11" t="s">
        <v>237</v>
      </c>
    </row>
    <row r="362" spans="1:37" x14ac:dyDescent="0.3">
      <c r="A362" s="8" t="s">
        <v>174</v>
      </c>
      <c r="B362" s="8" t="s">
        <v>175</v>
      </c>
      <c r="C362" s="7">
        <v>45322</v>
      </c>
      <c r="D362" s="8" t="s">
        <v>519</v>
      </c>
      <c r="E362" s="8" t="s">
        <v>549</v>
      </c>
      <c r="F362" s="8" t="s">
        <v>549</v>
      </c>
      <c r="G362" s="8" t="s">
        <v>550</v>
      </c>
      <c r="H362">
        <v>6913</v>
      </c>
      <c r="I362" s="9">
        <v>2000.29</v>
      </c>
      <c r="J362" s="9"/>
      <c r="K362" s="9"/>
      <c r="L362" s="8" t="s">
        <v>119</v>
      </c>
      <c r="M362" s="8" t="s">
        <v>38</v>
      </c>
      <c r="N362" s="8" t="s">
        <v>56</v>
      </c>
      <c r="O362" s="8" t="s">
        <v>14</v>
      </c>
      <c r="P362" s="8" t="s">
        <v>57</v>
      </c>
      <c r="Q362" s="8" t="s">
        <v>549</v>
      </c>
      <c r="R362" s="8" t="s">
        <v>33</v>
      </c>
      <c r="S362" s="8" t="s">
        <v>530</v>
      </c>
      <c r="T362" s="8" t="s">
        <v>40</v>
      </c>
      <c r="U362" s="8" t="s">
        <v>32</v>
      </c>
      <c r="V362" s="8" t="s">
        <v>32</v>
      </c>
      <c r="W362" s="8" t="s">
        <v>33</v>
      </c>
      <c r="X362" s="8" t="s">
        <v>33</v>
      </c>
      <c r="Y362" s="8" t="s">
        <v>33</v>
      </c>
      <c r="Z362" s="8" t="s">
        <v>33</v>
      </c>
      <c r="AA362" s="8" t="s">
        <v>33</v>
      </c>
      <c r="AB362" s="8" t="s">
        <v>32</v>
      </c>
      <c r="AC362" s="8" t="s">
        <v>33</v>
      </c>
      <c r="AD362" s="8" t="s">
        <v>32</v>
      </c>
      <c r="AE362" s="8" t="s">
        <v>32</v>
      </c>
      <c r="AF362" s="4">
        <f t="shared" si="10"/>
        <v>6913</v>
      </c>
      <c r="AG362" s="4">
        <f t="shared" si="11"/>
        <v>2000.29</v>
      </c>
      <c r="AH362" s="5" t="s">
        <v>184</v>
      </c>
      <c r="AI362" s="11" t="s">
        <v>551</v>
      </c>
      <c r="AJ362" s="11" t="s">
        <v>541</v>
      </c>
      <c r="AK362" s="11" t="s">
        <v>237</v>
      </c>
    </row>
    <row r="363" spans="1:37" x14ac:dyDescent="0.3">
      <c r="A363" s="8" t="s">
        <v>174</v>
      </c>
      <c r="B363" s="8" t="s">
        <v>175</v>
      </c>
      <c r="C363" s="7">
        <v>45322</v>
      </c>
      <c r="D363" s="8" t="s">
        <v>519</v>
      </c>
      <c r="E363" s="8" t="s">
        <v>549</v>
      </c>
      <c r="F363" s="8" t="s">
        <v>549</v>
      </c>
      <c r="G363" s="8" t="s">
        <v>550</v>
      </c>
      <c r="H363">
        <v>1816</v>
      </c>
      <c r="I363" s="9">
        <v>525.46</v>
      </c>
      <c r="J363" s="9"/>
      <c r="K363" s="9"/>
      <c r="L363" s="8" t="s">
        <v>119</v>
      </c>
      <c r="M363" s="8" t="s">
        <v>43</v>
      </c>
      <c r="N363" s="8" t="s">
        <v>56</v>
      </c>
      <c r="O363" s="8" t="s">
        <v>14</v>
      </c>
      <c r="P363" s="8" t="s">
        <v>57</v>
      </c>
      <c r="Q363" s="8" t="s">
        <v>549</v>
      </c>
      <c r="R363" s="8" t="s">
        <v>33</v>
      </c>
      <c r="S363" s="8" t="s">
        <v>530</v>
      </c>
      <c r="T363" s="8" t="s">
        <v>40</v>
      </c>
      <c r="U363" s="8" t="s">
        <v>32</v>
      </c>
      <c r="V363" s="8" t="s">
        <v>32</v>
      </c>
      <c r="W363" s="8" t="s">
        <v>33</v>
      </c>
      <c r="X363" s="8" t="s">
        <v>33</v>
      </c>
      <c r="Y363" s="8" t="s">
        <v>33</v>
      </c>
      <c r="Z363" s="8" t="s">
        <v>33</v>
      </c>
      <c r="AA363" s="8" t="s">
        <v>33</v>
      </c>
      <c r="AB363" s="8" t="s">
        <v>32</v>
      </c>
      <c r="AC363" s="8" t="s">
        <v>33</v>
      </c>
      <c r="AD363" s="8" t="s">
        <v>32</v>
      </c>
      <c r="AE363" s="8" t="s">
        <v>32</v>
      </c>
      <c r="AF363" s="4">
        <f t="shared" si="10"/>
        <v>1816</v>
      </c>
      <c r="AG363" s="4">
        <f t="shared" si="11"/>
        <v>525.46</v>
      </c>
      <c r="AH363" s="5" t="s">
        <v>184</v>
      </c>
      <c r="AI363" s="11" t="s">
        <v>551</v>
      </c>
      <c r="AJ363" s="11" t="s">
        <v>541</v>
      </c>
      <c r="AK363" s="11" t="s">
        <v>237</v>
      </c>
    </row>
    <row r="364" spans="1:37" x14ac:dyDescent="0.3">
      <c r="A364" s="8" t="s">
        <v>174</v>
      </c>
      <c r="B364" s="8" t="s">
        <v>175</v>
      </c>
      <c r="C364" s="7">
        <v>45322</v>
      </c>
      <c r="D364" s="8" t="s">
        <v>519</v>
      </c>
      <c r="E364" s="8" t="s">
        <v>549</v>
      </c>
      <c r="F364" s="8" t="s">
        <v>549</v>
      </c>
      <c r="G364" s="8" t="s">
        <v>550</v>
      </c>
      <c r="H364">
        <v>5290</v>
      </c>
      <c r="I364" s="9">
        <v>1530.67</v>
      </c>
      <c r="J364" s="9"/>
      <c r="K364" s="9"/>
      <c r="L364" s="8" t="s">
        <v>119</v>
      </c>
      <c r="M364" s="8" t="s">
        <v>44</v>
      </c>
      <c r="N364" s="8" t="s">
        <v>56</v>
      </c>
      <c r="O364" s="8" t="s">
        <v>14</v>
      </c>
      <c r="P364" s="8" t="s">
        <v>57</v>
      </c>
      <c r="Q364" s="8" t="s">
        <v>549</v>
      </c>
      <c r="R364" s="8" t="s">
        <v>33</v>
      </c>
      <c r="S364" s="8" t="s">
        <v>530</v>
      </c>
      <c r="T364" s="8" t="s">
        <v>40</v>
      </c>
      <c r="U364" s="8" t="s">
        <v>32</v>
      </c>
      <c r="V364" s="8" t="s">
        <v>32</v>
      </c>
      <c r="W364" s="8" t="s">
        <v>33</v>
      </c>
      <c r="X364" s="8" t="s">
        <v>33</v>
      </c>
      <c r="Y364" s="8" t="s">
        <v>33</v>
      </c>
      <c r="Z364" s="8" t="s">
        <v>33</v>
      </c>
      <c r="AA364" s="8" t="s">
        <v>33</v>
      </c>
      <c r="AB364" s="8" t="s">
        <v>32</v>
      </c>
      <c r="AC364" s="8" t="s">
        <v>33</v>
      </c>
      <c r="AD364" s="8" t="s">
        <v>32</v>
      </c>
      <c r="AE364" s="8" t="s">
        <v>32</v>
      </c>
      <c r="AF364" s="4">
        <f t="shared" si="10"/>
        <v>5290</v>
      </c>
      <c r="AG364" s="4">
        <f t="shared" si="11"/>
        <v>1530.67</v>
      </c>
      <c r="AH364" s="5" t="s">
        <v>184</v>
      </c>
      <c r="AI364" s="11" t="s">
        <v>551</v>
      </c>
      <c r="AJ364" s="11" t="s">
        <v>541</v>
      </c>
      <c r="AK364" s="11" t="s">
        <v>237</v>
      </c>
    </row>
    <row r="365" spans="1:37" x14ac:dyDescent="0.3">
      <c r="A365" s="8" t="s">
        <v>154</v>
      </c>
      <c r="B365" s="8" t="s">
        <v>155</v>
      </c>
      <c r="C365" s="7">
        <v>45322</v>
      </c>
      <c r="D365" s="8" t="s">
        <v>520</v>
      </c>
      <c r="E365" s="8" t="s">
        <v>549</v>
      </c>
      <c r="F365" s="8" t="s">
        <v>549</v>
      </c>
      <c r="G365" s="8" t="s">
        <v>550</v>
      </c>
      <c r="H365">
        <v>976</v>
      </c>
      <c r="I365" s="9">
        <v>282.41000000000003</v>
      </c>
      <c r="J365" s="9"/>
      <c r="K365" s="9"/>
      <c r="L365" s="8" t="s">
        <v>196</v>
      </c>
      <c r="M365" s="8" t="s">
        <v>75</v>
      </c>
      <c r="N365" s="8" t="s">
        <v>56</v>
      </c>
      <c r="O365" s="8" t="s">
        <v>14</v>
      </c>
      <c r="P365" s="8" t="s">
        <v>57</v>
      </c>
      <c r="Q365" s="8" t="s">
        <v>549</v>
      </c>
      <c r="R365" s="8" t="s">
        <v>33</v>
      </c>
      <c r="S365" s="8" t="s">
        <v>530</v>
      </c>
      <c r="T365" s="8" t="s">
        <v>40</v>
      </c>
      <c r="U365" s="8" t="s">
        <v>32</v>
      </c>
      <c r="V365" s="8" t="s">
        <v>32</v>
      </c>
      <c r="W365" s="8" t="s">
        <v>33</v>
      </c>
      <c r="X365" s="8" t="s">
        <v>33</v>
      </c>
      <c r="Y365" s="8" t="s">
        <v>33</v>
      </c>
      <c r="Z365" s="8" t="s">
        <v>33</v>
      </c>
      <c r="AA365" s="8" t="s">
        <v>33</v>
      </c>
      <c r="AB365" s="8" t="s">
        <v>32</v>
      </c>
      <c r="AC365" s="8" t="s">
        <v>33</v>
      </c>
      <c r="AD365" s="8" t="s">
        <v>32</v>
      </c>
      <c r="AE365" s="8" t="s">
        <v>32</v>
      </c>
      <c r="AF365" s="4">
        <f t="shared" si="10"/>
        <v>976</v>
      </c>
      <c r="AG365" s="4">
        <f t="shared" si="11"/>
        <v>282.41000000000003</v>
      </c>
      <c r="AH365" s="5" t="s">
        <v>185</v>
      </c>
      <c r="AI365" s="11" t="s">
        <v>555</v>
      </c>
      <c r="AJ365" s="11" t="s">
        <v>523</v>
      </c>
      <c r="AK365" s="11" t="s">
        <v>236</v>
      </c>
    </row>
    <row r="366" spans="1:37" x14ac:dyDescent="0.3">
      <c r="A366" s="8" t="s">
        <v>146</v>
      </c>
      <c r="B366" s="8" t="s">
        <v>147</v>
      </c>
      <c r="C366" s="7">
        <v>45322</v>
      </c>
      <c r="D366" s="8" t="s">
        <v>526</v>
      </c>
      <c r="E366" s="8" t="s">
        <v>549</v>
      </c>
      <c r="F366" s="8" t="s">
        <v>549</v>
      </c>
      <c r="G366" s="8" t="s">
        <v>550</v>
      </c>
      <c r="H366">
        <v>5644</v>
      </c>
      <c r="I366" s="9">
        <v>1633.1</v>
      </c>
      <c r="J366" s="9"/>
      <c r="K366" s="9"/>
      <c r="L366" s="8" t="s">
        <v>93</v>
      </c>
      <c r="M366" s="8" t="s">
        <v>28</v>
      </c>
      <c r="N366" s="8" t="s">
        <v>56</v>
      </c>
      <c r="O366" s="8" t="s">
        <v>14</v>
      </c>
      <c r="P366" s="8" t="s">
        <v>57</v>
      </c>
      <c r="Q366" s="8" t="s">
        <v>549</v>
      </c>
      <c r="R366" s="8" t="s">
        <v>33</v>
      </c>
      <c r="S366" s="8" t="s">
        <v>530</v>
      </c>
      <c r="T366" s="8" t="s">
        <v>40</v>
      </c>
      <c r="U366" s="8" t="s">
        <v>32</v>
      </c>
      <c r="V366" s="8" t="s">
        <v>32</v>
      </c>
      <c r="W366" s="8" t="s">
        <v>33</v>
      </c>
      <c r="X366" s="8" t="s">
        <v>33</v>
      </c>
      <c r="Y366" s="8" t="s">
        <v>33</v>
      </c>
      <c r="Z366" s="8" t="s">
        <v>33</v>
      </c>
      <c r="AA366" s="8" t="s">
        <v>33</v>
      </c>
      <c r="AB366" s="8" t="s">
        <v>32</v>
      </c>
      <c r="AC366" s="8" t="s">
        <v>33</v>
      </c>
      <c r="AD366" s="8" t="s">
        <v>32</v>
      </c>
      <c r="AE366" s="8" t="s">
        <v>32</v>
      </c>
      <c r="AF366" s="4">
        <f t="shared" si="10"/>
        <v>5644</v>
      </c>
      <c r="AG366" s="4">
        <f t="shared" si="11"/>
        <v>1633.1</v>
      </c>
      <c r="AH366" s="5" t="s">
        <v>185</v>
      </c>
      <c r="AI366" s="11" t="s">
        <v>214</v>
      </c>
      <c r="AJ366" s="11" t="s">
        <v>206</v>
      </c>
      <c r="AK366" s="11" t="s">
        <v>235</v>
      </c>
    </row>
    <row r="367" spans="1:37" x14ac:dyDescent="0.3">
      <c r="A367" s="8" t="s">
        <v>103</v>
      </c>
      <c r="B367" s="8" t="s">
        <v>104</v>
      </c>
      <c r="C367" s="7">
        <v>45322</v>
      </c>
      <c r="D367" s="8" t="s">
        <v>527</v>
      </c>
      <c r="E367" s="8" t="s">
        <v>549</v>
      </c>
      <c r="F367" s="8" t="s">
        <v>549</v>
      </c>
      <c r="G367" s="8" t="s">
        <v>550</v>
      </c>
      <c r="H367">
        <v>7477</v>
      </c>
      <c r="I367" s="9">
        <v>2163.48</v>
      </c>
      <c r="J367" s="9"/>
      <c r="K367" s="9"/>
      <c r="L367" s="8" t="s">
        <v>93</v>
      </c>
      <c r="M367" s="8" t="s">
        <v>34</v>
      </c>
      <c r="N367" s="8" t="s">
        <v>56</v>
      </c>
      <c r="O367" s="8" t="s">
        <v>14</v>
      </c>
      <c r="P367" s="8" t="s">
        <v>57</v>
      </c>
      <c r="Q367" s="8" t="s">
        <v>549</v>
      </c>
      <c r="R367" s="8" t="s">
        <v>33</v>
      </c>
      <c r="S367" s="8" t="s">
        <v>530</v>
      </c>
      <c r="T367" s="8" t="s">
        <v>40</v>
      </c>
      <c r="U367" s="8" t="s">
        <v>32</v>
      </c>
      <c r="V367" s="8" t="s">
        <v>32</v>
      </c>
      <c r="W367" s="8" t="s">
        <v>33</v>
      </c>
      <c r="X367" s="8" t="s">
        <v>33</v>
      </c>
      <c r="Y367" s="8" t="s">
        <v>33</v>
      </c>
      <c r="Z367" s="8" t="s">
        <v>33</v>
      </c>
      <c r="AA367" s="8" t="s">
        <v>33</v>
      </c>
      <c r="AB367" s="8" t="s">
        <v>32</v>
      </c>
      <c r="AC367" s="8" t="s">
        <v>33</v>
      </c>
      <c r="AD367" s="8" t="s">
        <v>32</v>
      </c>
      <c r="AE367" s="8" t="s">
        <v>32</v>
      </c>
      <c r="AF367" s="4">
        <f t="shared" si="10"/>
        <v>7477</v>
      </c>
      <c r="AG367" s="4">
        <f t="shared" si="11"/>
        <v>2163.48</v>
      </c>
      <c r="AH367" s="5" t="s">
        <v>185</v>
      </c>
      <c r="AI367" s="11" t="s">
        <v>232</v>
      </c>
      <c r="AJ367" s="11" t="s">
        <v>206</v>
      </c>
      <c r="AK367" s="11" t="s">
        <v>235</v>
      </c>
    </row>
    <row r="368" spans="1:37" x14ac:dyDescent="0.3">
      <c r="A368" s="8" t="s">
        <v>150</v>
      </c>
      <c r="B368" s="8" t="s">
        <v>151</v>
      </c>
      <c r="C368" s="7">
        <v>45322</v>
      </c>
      <c r="D368" s="8" t="s">
        <v>528</v>
      </c>
      <c r="E368" s="8" t="s">
        <v>549</v>
      </c>
      <c r="F368" s="8" t="s">
        <v>549</v>
      </c>
      <c r="G368" s="8" t="s">
        <v>550</v>
      </c>
      <c r="H368">
        <v>5216</v>
      </c>
      <c r="I368" s="9">
        <v>1509.26</v>
      </c>
      <c r="J368" s="9"/>
      <c r="K368" s="9"/>
      <c r="L368" s="8" t="s">
        <v>119</v>
      </c>
      <c r="M368" s="8" t="s">
        <v>34</v>
      </c>
      <c r="N368" s="8" t="s">
        <v>56</v>
      </c>
      <c r="O368" s="8" t="s">
        <v>14</v>
      </c>
      <c r="P368" s="8" t="s">
        <v>57</v>
      </c>
      <c r="Q368" s="8" t="s">
        <v>549</v>
      </c>
      <c r="R368" s="8" t="s">
        <v>33</v>
      </c>
      <c r="S368" s="8" t="s">
        <v>530</v>
      </c>
      <c r="T368" s="8" t="s">
        <v>40</v>
      </c>
      <c r="U368" s="8" t="s">
        <v>32</v>
      </c>
      <c r="V368" s="8" t="s">
        <v>32</v>
      </c>
      <c r="W368" s="8" t="s">
        <v>33</v>
      </c>
      <c r="X368" s="8" t="s">
        <v>33</v>
      </c>
      <c r="Y368" s="8" t="s">
        <v>33</v>
      </c>
      <c r="Z368" s="8" t="s">
        <v>33</v>
      </c>
      <c r="AA368" s="8" t="s">
        <v>33</v>
      </c>
      <c r="AB368" s="8" t="s">
        <v>32</v>
      </c>
      <c r="AC368" s="8" t="s">
        <v>33</v>
      </c>
      <c r="AD368" s="8" t="s">
        <v>32</v>
      </c>
      <c r="AE368" s="8" t="s">
        <v>32</v>
      </c>
      <c r="AF368" s="4">
        <f t="shared" si="10"/>
        <v>5216</v>
      </c>
      <c r="AG368" s="4">
        <f t="shared" si="11"/>
        <v>1509.26</v>
      </c>
      <c r="AH368" s="5" t="s">
        <v>184</v>
      </c>
      <c r="AI368" s="11" t="s">
        <v>551</v>
      </c>
      <c r="AJ368" s="11" t="s">
        <v>541</v>
      </c>
      <c r="AK368" s="11" t="s">
        <v>237</v>
      </c>
    </row>
    <row r="369" spans="1:37" x14ac:dyDescent="0.3">
      <c r="A369" s="8" t="s">
        <v>150</v>
      </c>
      <c r="B369" s="8" t="s">
        <v>151</v>
      </c>
      <c r="C369" s="7">
        <v>45322</v>
      </c>
      <c r="D369" s="8" t="s">
        <v>528</v>
      </c>
      <c r="E369" s="8" t="s">
        <v>549</v>
      </c>
      <c r="F369" s="8" t="s">
        <v>549</v>
      </c>
      <c r="G369" s="8" t="s">
        <v>550</v>
      </c>
      <c r="H369">
        <v>6121</v>
      </c>
      <c r="I369" s="9">
        <v>1771.12</v>
      </c>
      <c r="J369" s="9"/>
      <c r="K369" s="9"/>
      <c r="L369" s="8" t="s">
        <v>119</v>
      </c>
      <c r="M369" s="8" t="s">
        <v>38</v>
      </c>
      <c r="N369" s="8" t="s">
        <v>56</v>
      </c>
      <c r="O369" s="8" t="s">
        <v>14</v>
      </c>
      <c r="P369" s="8" t="s">
        <v>57</v>
      </c>
      <c r="Q369" s="8" t="s">
        <v>549</v>
      </c>
      <c r="R369" s="8" t="s">
        <v>33</v>
      </c>
      <c r="S369" s="8" t="s">
        <v>530</v>
      </c>
      <c r="T369" s="8" t="s">
        <v>40</v>
      </c>
      <c r="U369" s="8" t="s">
        <v>32</v>
      </c>
      <c r="V369" s="8" t="s">
        <v>32</v>
      </c>
      <c r="W369" s="8" t="s">
        <v>33</v>
      </c>
      <c r="X369" s="8" t="s">
        <v>33</v>
      </c>
      <c r="Y369" s="8" t="s">
        <v>33</v>
      </c>
      <c r="Z369" s="8" t="s">
        <v>33</v>
      </c>
      <c r="AA369" s="8" t="s">
        <v>33</v>
      </c>
      <c r="AB369" s="8" t="s">
        <v>32</v>
      </c>
      <c r="AC369" s="8" t="s">
        <v>33</v>
      </c>
      <c r="AD369" s="8" t="s">
        <v>32</v>
      </c>
      <c r="AE369" s="8" t="s">
        <v>32</v>
      </c>
      <c r="AF369" s="4">
        <f t="shared" si="10"/>
        <v>6121</v>
      </c>
      <c r="AG369" s="4">
        <f t="shared" si="11"/>
        <v>1771.12</v>
      </c>
      <c r="AH369" s="5" t="s">
        <v>184</v>
      </c>
      <c r="AI369" s="11" t="s">
        <v>551</v>
      </c>
      <c r="AJ369" s="11" t="s">
        <v>541</v>
      </c>
      <c r="AK369" s="11" t="s">
        <v>237</v>
      </c>
    </row>
    <row r="370" spans="1:37" x14ac:dyDescent="0.3">
      <c r="A370" s="8" t="s">
        <v>140</v>
      </c>
      <c r="B370" s="8" t="s">
        <v>141</v>
      </c>
      <c r="C370" s="7">
        <v>45322</v>
      </c>
      <c r="D370" s="8" t="s">
        <v>529</v>
      </c>
      <c r="E370" s="8" t="s">
        <v>549</v>
      </c>
      <c r="F370" s="8" t="s">
        <v>549</v>
      </c>
      <c r="G370" s="8" t="s">
        <v>550</v>
      </c>
      <c r="H370">
        <v>8858</v>
      </c>
      <c r="I370" s="9">
        <v>2563.08</v>
      </c>
      <c r="J370" s="9"/>
      <c r="K370" s="9"/>
      <c r="L370" s="8" t="s">
        <v>76</v>
      </c>
      <c r="M370" s="8" t="s">
        <v>34</v>
      </c>
      <c r="N370" s="8" t="s">
        <v>56</v>
      </c>
      <c r="O370" s="8" t="s">
        <v>14</v>
      </c>
      <c r="P370" s="8" t="s">
        <v>57</v>
      </c>
      <c r="Q370" s="8" t="s">
        <v>549</v>
      </c>
      <c r="R370" s="8" t="s">
        <v>33</v>
      </c>
      <c r="S370" s="8" t="s">
        <v>530</v>
      </c>
      <c r="T370" s="8" t="s">
        <v>40</v>
      </c>
      <c r="U370" s="8" t="s">
        <v>32</v>
      </c>
      <c r="V370" s="8" t="s">
        <v>32</v>
      </c>
      <c r="W370" s="8" t="s">
        <v>33</v>
      </c>
      <c r="X370" s="8" t="s">
        <v>33</v>
      </c>
      <c r="Y370" s="8" t="s">
        <v>33</v>
      </c>
      <c r="Z370" s="8" t="s">
        <v>33</v>
      </c>
      <c r="AA370" s="8" t="s">
        <v>33</v>
      </c>
      <c r="AB370" s="8" t="s">
        <v>32</v>
      </c>
      <c r="AC370" s="8" t="s">
        <v>33</v>
      </c>
      <c r="AD370" s="8" t="s">
        <v>32</v>
      </c>
      <c r="AE370" s="8" t="s">
        <v>32</v>
      </c>
      <c r="AF370" s="4">
        <f t="shared" si="10"/>
        <v>8858</v>
      </c>
      <c r="AG370" s="4">
        <f t="shared" si="11"/>
        <v>2563.08</v>
      </c>
      <c r="AH370" s="5" t="s">
        <v>185</v>
      </c>
      <c r="AI370" s="11" t="s">
        <v>213</v>
      </c>
      <c r="AJ370" s="11" t="s">
        <v>205</v>
      </c>
      <c r="AK370" s="11" t="s">
        <v>235</v>
      </c>
    </row>
    <row r="371" spans="1:37" x14ac:dyDescent="0.3">
      <c r="A371" s="8" t="s">
        <v>81</v>
      </c>
      <c r="B371" s="8" t="s">
        <v>82</v>
      </c>
      <c r="C371" s="7">
        <v>45322</v>
      </c>
      <c r="D371" s="8" t="s">
        <v>531</v>
      </c>
      <c r="E371" s="8" t="s">
        <v>549</v>
      </c>
      <c r="F371" s="8" t="s">
        <v>549</v>
      </c>
      <c r="G371" s="8" t="s">
        <v>550</v>
      </c>
      <c r="H371">
        <v>2236</v>
      </c>
      <c r="I371" s="9">
        <v>646.99</v>
      </c>
      <c r="J371" s="9"/>
      <c r="K371" s="9"/>
      <c r="L371" s="8" t="s">
        <v>93</v>
      </c>
      <c r="M371" s="8" t="s">
        <v>34</v>
      </c>
      <c r="N371" s="8" t="s">
        <v>56</v>
      </c>
      <c r="O371" s="8" t="s">
        <v>14</v>
      </c>
      <c r="P371" s="8" t="s">
        <v>57</v>
      </c>
      <c r="Q371" s="8" t="s">
        <v>549</v>
      </c>
      <c r="R371" s="8" t="s">
        <v>33</v>
      </c>
      <c r="S371" s="8" t="s">
        <v>530</v>
      </c>
      <c r="T371" s="8" t="s">
        <v>40</v>
      </c>
      <c r="U371" s="8" t="s">
        <v>32</v>
      </c>
      <c r="V371" s="8" t="s">
        <v>32</v>
      </c>
      <c r="W371" s="8" t="s">
        <v>33</v>
      </c>
      <c r="X371" s="8" t="s">
        <v>33</v>
      </c>
      <c r="Y371" s="8" t="s">
        <v>33</v>
      </c>
      <c r="Z371" s="8" t="s">
        <v>33</v>
      </c>
      <c r="AA371" s="8" t="s">
        <v>33</v>
      </c>
      <c r="AB371" s="8" t="s">
        <v>32</v>
      </c>
      <c r="AC371" s="8" t="s">
        <v>33</v>
      </c>
      <c r="AD371" s="8" t="s">
        <v>32</v>
      </c>
      <c r="AE371" s="8" t="s">
        <v>32</v>
      </c>
      <c r="AF371" s="4">
        <f t="shared" si="10"/>
        <v>2236</v>
      </c>
      <c r="AG371" s="4">
        <f t="shared" si="11"/>
        <v>646.99</v>
      </c>
      <c r="AH371" s="5" t="s">
        <v>185</v>
      </c>
      <c r="AI371" s="11" t="s">
        <v>227</v>
      </c>
      <c r="AJ371" s="11" t="s">
        <v>206</v>
      </c>
      <c r="AK371" s="11" t="s">
        <v>235</v>
      </c>
    </row>
    <row r="372" spans="1:37" x14ac:dyDescent="0.3">
      <c r="A372" s="8" t="s">
        <v>90</v>
      </c>
      <c r="B372" s="8" t="s">
        <v>91</v>
      </c>
      <c r="C372" s="7">
        <v>45322</v>
      </c>
      <c r="D372" s="8" t="s">
        <v>532</v>
      </c>
      <c r="E372" s="8" t="s">
        <v>549</v>
      </c>
      <c r="F372" s="8" t="s">
        <v>549</v>
      </c>
      <c r="G372" s="8" t="s">
        <v>550</v>
      </c>
      <c r="H372">
        <v>1398</v>
      </c>
      <c r="I372" s="9">
        <v>404.51</v>
      </c>
      <c r="J372" s="9"/>
      <c r="K372" s="9"/>
      <c r="L372" s="8" t="s">
        <v>93</v>
      </c>
      <c r="M372" s="8" t="s">
        <v>34</v>
      </c>
      <c r="N372" s="8" t="s">
        <v>56</v>
      </c>
      <c r="O372" s="8" t="s">
        <v>14</v>
      </c>
      <c r="P372" s="8" t="s">
        <v>57</v>
      </c>
      <c r="Q372" s="8" t="s">
        <v>549</v>
      </c>
      <c r="R372" s="8" t="s">
        <v>33</v>
      </c>
      <c r="S372" s="8" t="s">
        <v>530</v>
      </c>
      <c r="T372" s="8" t="s">
        <v>40</v>
      </c>
      <c r="U372" s="8" t="s">
        <v>32</v>
      </c>
      <c r="V372" s="8" t="s">
        <v>32</v>
      </c>
      <c r="W372" s="8" t="s">
        <v>33</v>
      </c>
      <c r="X372" s="8" t="s">
        <v>33</v>
      </c>
      <c r="Y372" s="8" t="s">
        <v>33</v>
      </c>
      <c r="Z372" s="8" t="s">
        <v>33</v>
      </c>
      <c r="AA372" s="8" t="s">
        <v>33</v>
      </c>
      <c r="AB372" s="8" t="s">
        <v>32</v>
      </c>
      <c r="AC372" s="8" t="s">
        <v>33</v>
      </c>
      <c r="AD372" s="8" t="s">
        <v>32</v>
      </c>
      <c r="AE372" s="8" t="s">
        <v>32</v>
      </c>
      <c r="AF372" s="4">
        <f t="shared" si="10"/>
        <v>1398</v>
      </c>
      <c r="AG372" s="4">
        <f t="shared" si="11"/>
        <v>404.51</v>
      </c>
      <c r="AH372" s="5" t="s">
        <v>185</v>
      </c>
      <c r="AI372" s="11" t="s">
        <v>218</v>
      </c>
      <c r="AJ372" s="11" t="s">
        <v>206</v>
      </c>
      <c r="AK372" s="11" t="s">
        <v>235</v>
      </c>
    </row>
    <row r="373" spans="1:37" x14ac:dyDescent="0.3">
      <c r="A373" s="8" t="s">
        <v>150</v>
      </c>
      <c r="B373" s="8" t="s">
        <v>151</v>
      </c>
      <c r="C373" s="7">
        <v>45322</v>
      </c>
      <c r="D373" s="8" t="s">
        <v>533</v>
      </c>
      <c r="E373" s="8" t="s">
        <v>549</v>
      </c>
      <c r="F373" s="8" t="s">
        <v>549</v>
      </c>
      <c r="G373" s="8" t="s">
        <v>550</v>
      </c>
      <c r="H373">
        <v>8732</v>
      </c>
      <c r="I373" s="9">
        <v>2526.62</v>
      </c>
      <c r="J373" s="9"/>
      <c r="K373" s="9"/>
      <c r="L373" s="8" t="s">
        <v>119</v>
      </c>
      <c r="M373" s="8" t="s">
        <v>34</v>
      </c>
      <c r="N373" s="8" t="s">
        <v>56</v>
      </c>
      <c r="O373" s="8" t="s">
        <v>14</v>
      </c>
      <c r="P373" s="8" t="s">
        <v>57</v>
      </c>
      <c r="Q373" s="8" t="s">
        <v>549</v>
      </c>
      <c r="R373" s="8" t="s">
        <v>33</v>
      </c>
      <c r="S373" s="8" t="s">
        <v>530</v>
      </c>
      <c r="T373" s="8" t="s">
        <v>40</v>
      </c>
      <c r="U373" s="8" t="s">
        <v>32</v>
      </c>
      <c r="V373" s="8" t="s">
        <v>32</v>
      </c>
      <c r="W373" s="8" t="s">
        <v>33</v>
      </c>
      <c r="X373" s="8" t="s">
        <v>33</v>
      </c>
      <c r="Y373" s="8" t="s">
        <v>33</v>
      </c>
      <c r="Z373" s="8" t="s">
        <v>33</v>
      </c>
      <c r="AA373" s="8" t="s">
        <v>33</v>
      </c>
      <c r="AB373" s="8" t="s">
        <v>32</v>
      </c>
      <c r="AC373" s="8" t="s">
        <v>33</v>
      </c>
      <c r="AD373" s="8" t="s">
        <v>32</v>
      </c>
      <c r="AE373" s="8" t="s">
        <v>32</v>
      </c>
      <c r="AF373" s="4">
        <f t="shared" si="10"/>
        <v>8732</v>
      </c>
      <c r="AG373" s="4">
        <f t="shared" si="11"/>
        <v>2526.62</v>
      </c>
      <c r="AH373" s="5" t="s">
        <v>184</v>
      </c>
      <c r="AI373" s="11" t="s">
        <v>551</v>
      </c>
      <c r="AJ373" s="11" t="s">
        <v>541</v>
      </c>
      <c r="AK373" s="11" t="s">
        <v>237</v>
      </c>
    </row>
    <row r="374" spans="1:37" x14ac:dyDescent="0.3">
      <c r="A374" s="8" t="s">
        <v>150</v>
      </c>
      <c r="B374" s="8" t="s">
        <v>151</v>
      </c>
      <c r="C374" s="7">
        <v>45322</v>
      </c>
      <c r="D374" s="8" t="s">
        <v>533</v>
      </c>
      <c r="E374" s="8" t="s">
        <v>549</v>
      </c>
      <c r="F374" s="8" t="s">
        <v>549</v>
      </c>
      <c r="G374" s="8" t="s">
        <v>550</v>
      </c>
      <c r="H374">
        <v>2132</v>
      </c>
      <c r="I374" s="9">
        <v>616.9</v>
      </c>
      <c r="J374" s="9"/>
      <c r="K374" s="9"/>
      <c r="L374" s="8" t="s">
        <v>119</v>
      </c>
      <c r="M374" s="8" t="s">
        <v>38</v>
      </c>
      <c r="N374" s="8" t="s">
        <v>56</v>
      </c>
      <c r="O374" s="8" t="s">
        <v>14</v>
      </c>
      <c r="P374" s="8" t="s">
        <v>57</v>
      </c>
      <c r="Q374" s="8" t="s">
        <v>549</v>
      </c>
      <c r="R374" s="8" t="s">
        <v>33</v>
      </c>
      <c r="S374" s="8" t="s">
        <v>530</v>
      </c>
      <c r="T374" s="8" t="s">
        <v>40</v>
      </c>
      <c r="U374" s="8" t="s">
        <v>32</v>
      </c>
      <c r="V374" s="8" t="s">
        <v>32</v>
      </c>
      <c r="W374" s="8" t="s">
        <v>33</v>
      </c>
      <c r="X374" s="8" t="s">
        <v>33</v>
      </c>
      <c r="Y374" s="8" t="s">
        <v>33</v>
      </c>
      <c r="Z374" s="8" t="s">
        <v>33</v>
      </c>
      <c r="AA374" s="8" t="s">
        <v>33</v>
      </c>
      <c r="AB374" s="8" t="s">
        <v>32</v>
      </c>
      <c r="AC374" s="8" t="s">
        <v>33</v>
      </c>
      <c r="AD374" s="8" t="s">
        <v>32</v>
      </c>
      <c r="AE374" s="8" t="s">
        <v>32</v>
      </c>
      <c r="AF374" s="4">
        <f t="shared" si="10"/>
        <v>2132</v>
      </c>
      <c r="AG374" s="4">
        <f t="shared" si="11"/>
        <v>616.9</v>
      </c>
      <c r="AH374" s="5" t="s">
        <v>184</v>
      </c>
      <c r="AI374" s="11" t="s">
        <v>551</v>
      </c>
      <c r="AJ374" s="11" t="s">
        <v>541</v>
      </c>
      <c r="AK374" s="11" t="s">
        <v>237</v>
      </c>
    </row>
    <row r="375" spans="1:37" x14ac:dyDescent="0.3">
      <c r="A375" s="8" t="s">
        <v>150</v>
      </c>
      <c r="B375" s="8" t="s">
        <v>151</v>
      </c>
      <c r="C375" s="7">
        <v>45322</v>
      </c>
      <c r="D375" s="8" t="s">
        <v>533</v>
      </c>
      <c r="E375" s="8" t="s">
        <v>549</v>
      </c>
      <c r="F375" s="8" t="s">
        <v>549</v>
      </c>
      <c r="G375" s="8" t="s">
        <v>550</v>
      </c>
      <c r="H375">
        <v>5000</v>
      </c>
      <c r="I375" s="9">
        <v>1446.76</v>
      </c>
      <c r="J375" s="9"/>
      <c r="K375" s="9"/>
      <c r="L375" s="8" t="s">
        <v>119</v>
      </c>
      <c r="M375" s="8" t="s">
        <v>43</v>
      </c>
      <c r="N375" s="8" t="s">
        <v>56</v>
      </c>
      <c r="O375" s="8" t="s">
        <v>14</v>
      </c>
      <c r="P375" s="8" t="s">
        <v>57</v>
      </c>
      <c r="Q375" s="8" t="s">
        <v>549</v>
      </c>
      <c r="R375" s="8" t="s">
        <v>33</v>
      </c>
      <c r="S375" s="8" t="s">
        <v>530</v>
      </c>
      <c r="T375" s="8" t="s">
        <v>40</v>
      </c>
      <c r="U375" s="8" t="s">
        <v>32</v>
      </c>
      <c r="V375" s="8" t="s">
        <v>32</v>
      </c>
      <c r="W375" s="8" t="s">
        <v>33</v>
      </c>
      <c r="X375" s="8" t="s">
        <v>33</v>
      </c>
      <c r="Y375" s="8" t="s">
        <v>33</v>
      </c>
      <c r="Z375" s="8" t="s">
        <v>33</v>
      </c>
      <c r="AA375" s="8" t="s">
        <v>33</v>
      </c>
      <c r="AB375" s="8" t="s">
        <v>32</v>
      </c>
      <c r="AC375" s="8" t="s">
        <v>33</v>
      </c>
      <c r="AD375" s="8" t="s">
        <v>32</v>
      </c>
      <c r="AE375" s="8" t="s">
        <v>32</v>
      </c>
      <c r="AF375" s="4">
        <f t="shared" si="10"/>
        <v>5000</v>
      </c>
      <c r="AG375" s="4">
        <f t="shared" si="11"/>
        <v>1446.76</v>
      </c>
      <c r="AH375" s="5" t="s">
        <v>184</v>
      </c>
      <c r="AI375" s="11" t="s">
        <v>551</v>
      </c>
      <c r="AJ375" s="11" t="s">
        <v>541</v>
      </c>
      <c r="AK375" s="11" t="s">
        <v>237</v>
      </c>
    </row>
    <row r="376" spans="1:37" x14ac:dyDescent="0.3">
      <c r="A376" s="8" t="s">
        <v>150</v>
      </c>
      <c r="B376" s="8" t="s">
        <v>151</v>
      </c>
      <c r="C376" s="7">
        <v>45322</v>
      </c>
      <c r="D376" s="8" t="s">
        <v>533</v>
      </c>
      <c r="E376" s="8" t="s">
        <v>549</v>
      </c>
      <c r="F376" s="8" t="s">
        <v>549</v>
      </c>
      <c r="G376" s="8" t="s">
        <v>550</v>
      </c>
      <c r="H376">
        <v>5608</v>
      </c>
      <c r="I376" s="9">
        <v>1622.69</v>
      </c>
      <c r="J376" s="9"/>
      <c r="K376" s="9"/>
      <c r="L376" s="8" t="s">
        <v>119</v>
      </c>
      <c r="M376" s="8" t="s">
        <v>44</v>
      </c>
      <c r="N376" s="8" t="s">
        <v>56</v>
      </c>
      <c r="O376" s="8" t="s">
        <v>14</v>
      </c>
      <c r="P376" s="8" t="s">
        <v>57</v>
      </c>
      <c r="Q376" s="8" t="s">
        <v>549</v>
      </c>
      <c r="R376" s="8" t="s">
        <v>33</v>
      </c>
      <c r="S376" s="8" t="s">
        <v>530</v>
      </c>
      <c r="T376" s="8" t="s">
        <v>40</v>
      </c>
      <c r="U376" s="8" t="s">
        <v>32</v>
      </c>
      <c r="V376" s="8" t="s">
        <v>32</v>
      </c>
      <c r="W376" s="8" t="s">
        <v>33</v>
      </c>
      <c r="X376" s="8" t="s">
        <v>33</v>
      </c>
      <c r="Y376" s="8" t="s">
        <v>33</v>
      </c>
      <c r="Z376" s="8" t="s">
        <v>33</v>
      </c>
      <c r="AA376" s="8" t="s">
        <v>33</v>
      </c>
      <c r="AB376" s="8" t="s">
        <v>32</v>
      </c>
      <c r="AC376" s="8" t="s">
        <v>33</v>
      </c>
      <c r="AD376" s="8" t="s">
        <v>32</v>
      </c>
      <c r="AE376" s="8" t="s">
        <v>32</v>
      </c>
      <c r="AF376" s="4">
        <f t="shared" si="10"/>
        <v>5608</v>
      </c>
      <c r="AG376" s="4">
        <f t="shared" si="11"/>
        <v>1622.69</v>
      </c>
      <c r="AH376" s="5" t="s">
        <v>184</v>
      </c>
      <c r="AI376" s="11" t="s">
        <v>551</v>
      </c>
      <c r="AJ376" s="11" t="s">
        <v>541</v>
      </c>
      <c r="AK376" s="11" t="s">
        <v>237</v>
      </c>
    </row>
    <row r="377" spans="1:37" x14ac:dyDescent="0.3">
      <c r="A377" s="8" t="s">
        <v>164</v>
      </c>
      <c r="B377" s="8" t="s">
        <v>165</v>
      </c>
      <c r="C377" s="7">
        <v>45322</v>
      </c>
      <c r="D377" s="8" t="s">
        <v>536</v>
      </c>
      <c r="E377" s="8" t="s">
        <v>549</v>
      </c>
      <c r="F377" s="8" t="s">
        <v>549</v>
      </c>
      <c r="G377" s="8" t="s">
        <v>550</v>
      </c>
      <c r="H377">
        <v>7009</v>
      </c>
      <c r="I377" s="9">
        <v>2028.07</v>
      </c>
      <c r="J377" s="9"/>
      <c r="K377" s="9"/>
      <c r="L377" s="8" t="s">
        <v>77</v>
      </c>
      <c r="M377" s="8" t="s">
        <v>34</v>
      </c>
      <c r="N377" s="8" t="s">
        <v>56</v>
      </c>
      <c r="O377" s="8" t="s">
        <v>14</v>
      </c>
      <c r="P377" s="8" t="s">
        <v>57</v>
      </c>
      <c r="Q377" s="8" t="s">
        <v>549</v>
      </c>
      <c r="R377" s="8" t="s">
        <v>33</v>
      </c>
      <c r="S377" s="8" t="s">
        <v>530</v>
      </c>
      <c r="T377" s="8" t="s">
        <v>40</v>
      </c>
      <c r="U377" s="8" t="s">
        <v>32</v>
      </c>
      <c r="V377" s="8" t="s">
        <v>32</v>
      </c>
      <c r="W377" s="8" t="s">
        <v>33</v>
      </c>
      <c r="X377" s="8" t="s">
        <v>33</v>
      </c>
      <c r="Y377" s="8" t="s">
        <v>33</v>
      </c>
      <c r="Z377" s="8" t="s">
        <v>33</v>
      </c>
      <c r="AA377" s="8" t="s">
        <v>33</v>
      </c>
      <c r="AB377" s="8" t="s">
        <v>32</v>
      </c>
      <c r="AC377" s="8" t="s">
        <v>33</v>
      </c>
      <c r="AD377" s="8" t="s">
        <v>32</v>
      </c>
      <c r="AE377" s="8" t="s">
        <v>32</v>
      </c>
      <c r="AF377" s="4">
        <f t="shared" si="10"/>
        <v>7009</v>
      </c>
      <c r="AG377" s="4">
        <f t="shared" si="11"/>
        <v>2028.07</v>
      </c>
      <c r="AH377" s="5" t="s">
        <v>185</v>
      </c>
      <c r="AI377" s="11" t="s">
        <v>213</v>
      </c>
      <c r="AJ377" s="11" t="s">
        <v>211</v>
      </c>
      <c r="AK377" s="11" t="s">
        <v>235</v>
      </c>
    </row>
    <row r="378" spans="1:37" x14ac:dyDescent="0.3">
      <c r="A378" s="8" t="s">
        <v>125</v>
      </c>
      <c r="B378" s="8" t="s">
        <v>126</v>
      </c>
      <c r="C378" s="7">
        <v>45322</v>
      </c>
      <c r="D378" s="8" t="s">
        <v>537</v>
      </c>
      <c r="E378" s="8" t="s">
        <v>549</v>
      </c>
      <c r="F378" s="8" t="s">
        <v>549</v>
      </c>
      <c r="G378" s="8" t="s">
        <v>550</v>
      </c>
      <c r="H378" s="9">
        <v>4701</v>
      </c>
      <c r="I378" s="9">
        <v>1360.24</v>
      </c>
      <c r="L378" s="8" t="s">
        <v>93</v>
      </c>
      <c r="M378" s="8" t="s">
        <v>28</v>
      </c>
      <c r="N378" s="8" t="s">
        <v>56</v>
      </c>
      <c r="O378" s="8" t="s">
        <v>14</v>
      </c>
      <c r="P378" s="8" t="s">
        <v>57</v>
      </c>
      <c r="Q378" s="8" t="s">
        <v>549</v>
      </c>
      <c r="R378" s="8" t="s">
        <v>33</v>
      </c>
      <c r="S378" s="8" t="s">
        <v>530</v>
      </c>
      <c r="T378" s="8" t="s">
        <v>40</v>
      </c>
      <c r="U378" s="8" t="s">
        <v>32</v>
      </c>
      <c r="V378" s="8" t="s">
        <v>32</v>
      </c>
      <c r="W378" s="8" t="s">
        <v>33</v>
      </c>
      <c r="X378" s="8" t="s">
        <v>33</v>
      </c>
      <c r="Y378" s="8" t="s">
        <v>33</v>
      </c>
      <c r="Z378" s="8" t="s">
        <v>33</v>
      </c>
      <c r="AA378" s="8" t="s">
        <v>33</v>
      </c>
      <c r="AB378" s="8" t="s">
        <v>32</v>
      </c>
      <c r="AC378" s="8" t="s">
        <v>33</v>
      </c>
      <c r="AD378" s="8" t="s">
        <v>32</v>
      </c>
      <c r="AE378" s="8" t="s">
        <v>32</v>
      </c>
      <c r="AF378" s="4">
        <f t="shared" si="10"/>
        <v>4701</v>
      </c>
      <c r="AG378" s="4">
        <f t="shared" si="11"/>
        <v>1360.24</v>
      </c>
      <c r="AH378" s="5" t="s">
        <v>185</v>
      </c>
      <c r="AI378" s="11" t="s">
        <v>218</v>
      </c>
      <c r="AJ378" s="11" t="s">
        <v>206</v>
      </c>
      <c r="AK378" s="11" t="s">
        <v>235</v>
      </c>
    </row>
    <row r="379" spans="1:37" x14ac:dyDescent="0.3">
      <c r="A379" s="8" t="s">
        <v>90</v>
      </c>
      <c r="B379" s="8" t="s">
        <v>91</v>
      </c>
      <c r="C379" s="7">
        <v>45322</v>
      </c>
      <c r="D379" s="8" t="s">
        <v>538</v>
      </c>
      <c r="E379" s="8" t="s">
        <v>549</v>
      </c>
      <c r="F379" s="8" t="s">
        <v>549</v>
      </c>
      <c r="G379" s="8" t="s">
        <v>550</v>
      </c>
      <c r="H379" s="9">
        <v>6885</v>
      </c>
      <c r="I379" s="9">
        <v>1992.19</v>
      </c>
      <c r="L379" s="8" t="s">
        <v>89</v>
      </c>
      <c r="M379" s="8" t="s">
        <v>34</v>
      </c>
      <c r="N379" s="8" t="s">
        <v>56</v>
      </c>
      <c r="O379" s="8" t="s">
        <v>14</v>
      </c>
      <c r="P379" s="8" t="s">
        <v>57</v>
      </c>
      <c r="Q379" s="8" t="s">
        <v>549</v>
      </c>
      <c r="R379" s="8" t="s">
        <v>33</v>
      </c>
      <c r="S379" s="8" t="s">
        <v>530</v>
      </c>
      <c r="T379" s="8" t="s">
        <v>40</v>
      </c>
      <c r="U379" s="8" t="s">
        <v>32</v>
      </c>
      <c r="V379" s="8" t="s">
        <v>32</v>
      </c>
      <c r="W379" s="8" t="s">
        <v>33</v>
      </c>
      <c r="X379" s="8" t="s">
        <v>33</v>
      </c>
      <c r="Y379" s="8" t="s">
        <v>33</v>
      </c>
      <c r="Z379" s="8" t="s">
        <v>33</v>
      </c>
      <c r="AA379" s="8" t="s">
        <v>33</v>
      </c>
      <c r="AB379" s="8" t="s">
        <v>32</v>
      </c>
      <c r="AC379" s="8" t="s">
        <v>33</v>
      </c>
      <c r="AD379" s="8" t="s">
        <v>32</v>
      </c>
      <c r="AE379" s="8" t="s">
        <v>32</v>
      </c>
      <c r="AF379" s="4">
        <f t="shared" si="10"/>
        <v>6885</v>
      </c>
      <c r="AG379" s="4">
        <f t="shared" si="11"/>
        <v>1992.19</v>
      </c>
      <c r="AH379" s="5" t="s">
        <v>185</v>
      </c>
      <c r="AI379" s="11" t="s">
        <v>218</v>
      </c>
      <c r="AJ379" s="11" t="s">
        <v>208</v>
      </c>
      <c r="AK379" s="11" t="s">
        <v>235</v>
      </c>
    </row>
    <row r="380" spans="1:37" x14ac:dyDescent="0.3">
      <c r="A380" s="8" t="s">
        <v>90</v>
      </c>
      <c r="B380" s="8" t="s">
        <v>91</v>
      </c>
      <c r="C380" s="7">
        <v>45322</v>
      </c>
      <c r="D380" s="8" t="s">
        <v>538</v>
      </c>
      <c r="E380" s="8" t="s">
        <v>549</v>
      </c>
      <c r="F380" s="8" t="s">
        <v>549</v>
      </c>
      <c r="G380" s="8" t="s">
        <v>550</v>
      </c>
      <c r="H380" s="9">
        <v>6719</v>
      </c>
      <c r="I380" s="9">
        <v>1944.16</v>
      </c>
      <c r="L380" s="8" t="s">
        <v>89</v>
      </c>
      <c r="M380" s="8" t="s">
        <v>38</v>
      </c>
      <c r="N380" s="8" t="s">
        <v>56</v>
      </c>
      <c r="O380" s="8" t="s">
        <v>14</v>
      </c>
      <c r="P380" s="8" t="s">
        <v>57</v>
      </c>
      <c r="Q380" s="8" t="s">
        <v>549</v>
      </c>
      <c r="R380" s="8" t="s">
        <v>33</v>
      </c>
      <c r="S380" s="8" t="s">
        <v>530</v>
      </c>
      <c r="T380" s="8" t="s">
        <v>40</v>
      </c>
      <c r="U380" s="8" t="s">
        <v>32</v>
      </c>
      <c r="V380" s="8" t="s">
        <v>32</v>
      </c>
      <c r="W380" s="8" t="s">
        <v>33</v>
      </c>
      <c r="X380" s="8" t="s">
        <v>33</v>
      </c>
      <c r="Y380" s="8" t="s">
        <v>33</v>
      </c>
      <c r="Z380" s="8" t="s">
        <v>33</v>
      </c>
      <c r="AA380" s="8" t="s">
        <v>33</v>
      </c>
      <c r="AB380" s="8" t="s">
        <v>32</v>
      </c>
      <c r="AC380" s="8" t="s">
        <v>33</v>
      </c>
      <c r="AD380" s="8" t="s">
        <v>32</v>
      </c>
      <c r="AE380" s="8" t="s">
        <v>32</v>
      </c>
      <c r="AF380" s="4">
        <f t="shared" si="10"/>
        <v>6719</v>
      </c>
      <c r="AG380" s="4">
        <f t="shared" si="11"/>
        <v>1944.16</v>
      </c>
      <c r="AH380" s="5" t="s">
        <v>185</v>
      </c>
      <c r="AI380" s="11" t="s">
        <v>218</v>
      </c>
      <c r="AJ380" s="11" t="s">
        <v>208</v>
      </c>
      <c r="AK380" s="11" t="s">
        <v>235</v>
      </c>
    </row>
    <row r="381" spans="1:37" x14ac:dyDescent="0.3">
      <c r="A381" s="8" t="s">
        <v>90</v>
      </c>
      <c r="B381" s="8" t="s">
        <v>91</v>
      </c>
      <c r="C381" s="7">
        <v>45322</v>
      </c>
      <c r="D381" s="8" t="s">
        <v>538</v>
      </c>
      <c r="E381" s="8" t="s">
        <v>549</v>
      </c>
      <c r="F381" s="8" t="s">
        <v>549</v>
      </c>
      <c r="G381" s="8" t="s">
        <v>550</v>
      </c>
      <c r="H381" s="9">
        <v>7089</v>
      </c>
      <c r="I381" s="9">
        <v>2051.2199999999998</v>
      </c>
      <c r="L381" s="8" t="s">
        <v>89</v>
      </c>
      <c r="M381" s="8" t="s">
        <v>39</v>
      </c>
      <c r="N381" s="8" t="s">
        <v>56</v>
      </c>
      <c r="O381" s="8" t="s">
        <v>14</v>
      </c>
      <c r="P381" s="8" t="s">
        <v>57</v>
      </c>
      <c r="Q381" s="8" t="s">
        <v>549</v>
      </c>
      <c r="R381" s="8" t="s">
        <v>33</v>
      </c>
      <c r="S381" s="8" t="s">
        <v>530</v>
      </c>
      <c r="T381" s="8" t="s">
        <v>40</v>
      </c>
      <c r="U381" s="8" t="s">
        <v>32</v>
      </c>
      <c r="V381" s="8" t="s">
        <v>32</v>
      </c>
      <c r="W381" s="8" t="s">
        <v>33</v>
      </c>
      <c r="X381" s="8" t="s">
        <v>33</v>
      </c>
      <c r="Y381" s="8" t="s">
        <v>33</v>
      </c>
      <c r="Z381" s="8" t="s">
        <v>33</v>
      </c>
      <c r="AA381" s="8" t="s">
        <v>33</v>
      </c>
      <c r="AB381" s="8" t="s">
        <v>32</v>
      </c>
      <c r="AC381" s="8" t="s">
        <v>33</v>
      </c>
      <c r="AD381" s="8" t="s">
        <v>32</v>
      </c>
      <c r="AE381" s="8" t="s">
        <v>32</v>
      </c>
      <c r="AF381" s="4">
        <f t="shared" si="10"/>
        <v>7089</v>
      </c>
      <c r="AG381" s="4">
        <f t="shared" si="11"/>
        <v>2051.2199999999998</v>
      </c>
      <c r="AH381" s="5" t="s">
        <v>185</v>
      </c>
      <c r="AI381" s="11" t="s">
        <v>218</v>
      </c>
      <c r="AJ381" s="11" t="s">
        <v>208</v>
      </c>
      <c r="AK381" s="11" t="s">
        <v>235</v>
      </c>
    </row>
    <row r="382" spans="1:37" x14ac:dyDescent="0.3">
      <c r="A382" s="8" t="s">
        <v>90</v>
      </c>
      <c r="B382" s="8" t="s">
        <v>91</v>
      </c>
      <c r="C382" s="7">
        <v>45322</v>
      </c>
      <c r="D382" s="8" t="s">
        <v>538</v>
      </c>
      <c r="E382" s="8" t="s">
        <v>549</v>
      </c>
      <c r="F382" s="8" t="s">
        <v>549</v>
      </c>
      <c r="G382" s="8" t="s">
        <v>550</v>
      </c>
      <c r="H382" s="9">
        <v>1382</v>
      </c>
      <c r="I382" s="9">
        <v>399.88</v>
      </c>
      <c r="L382" s="8" t="s">
        <v>89</v>
      </c>
      <c r="M382" s="8" t="s">
        <v>43</v>
      </c>
      <c r="N382" s="8" t="s">
        <v>56</v>
      </c>
      <c r="O382" s="8" t="s">
        <v>14</v>
      </c>
      <c r="P382" s="8" t="s">
        <v>57</v>
      </c>
      <c r="Q382" s="8" t="s">
        <v>549</v>
      </c>
      <c r="R382" s="8" t="s">
        <v>33</v>
      </c>
      <c r="S382" s="8" t="s">
        <v>530</v>
      </c>
      <c r="T382" s="8" t="s">
        <v>40</v>
      </c>
      <c r="U382" s="8" t="s">
        <v>32</v>
      </c>
      <c r="V382" s="8" t="s">
        <v>32</v>
      </c>
      <c r="W382" s="8" t="s">
        <v>33</v>
      </c>
      <c r="X382" s="8" t="s">
        <v>33</v>
      </c>
      <c r="Y382" s="8" t="s">
        <v>33</v>
      </c>
      <c r="Z382" s="8" t="s">
        <v>33</v>
      </c>
      <c r="AA382" s="8" t="s">
        <v>33</v>
      </c>
      <c r="AB382" s="8" t="s">
        <v>32</v>
      </c>
      <c r="AC382" s="8" t="s">
        <v>33</v>
      </c>
      <c r="AD382" s="8" t="s">
        <v>32</v>
      </c>
      <c r="AE382" s="8" t="s">
        <v>32</v>
      </c>
      <c r="AF382" s="4">
        <f t="shared" si="10"/>
        <v>1382</v>
      </c>
      <c r="AG382" s="4">
        <f t="shared" si="11"/>
        <v>399.88</v>
      </c>
      <c r="AH382" s="5" t="s">
        <v>185</v>
      </c>
      <c r="AI382" s="11" t="s">
        <v>218</v>
      </c>
      <c r="AJ382" s="11" t="s">
        <v>208</v>
      </c>
      <c r="AK382" s="11" t="s">
        <v>235</v>
      </c>
    </row>
    <row r="383" spans="1:37" x14ac:dyDescent="0.3">
      <c r="A383" s="8" t="s">
        <v>90</v>
      </c>
      <c r="B383" s="8" t="s">
        <v>91</v>
      </c>
      <c r="C383" s="7">
        <v>45322</v>
      </c>
      <c r="D383" s="8" t="s">
        <v>538</v>
      </c>
      <c r="E383" s="8" t="s">
        <v>549</v>
      </c>
      <c r="F383" s="8" t="s">
        <v>549</v>
      </c>
      <c r="G383" s="8" t="s">
        <v>550</v>
      </c>
      <c r="H383" s="9">
        <v>456</v>
      </c>
      <c r="I383" s="9">
        <v>131.94</v>
      </c>
      <c r="L383" s="8" t="s">
        <v>89</v>
      </c>
      <c r="M383" s="8" t="s">
        <v>44</v>
      </c>
      <c r="N383" s="8" t="s">
        <v>56</v>
      </c>
      <c r="O383" s="8" t="s">
        <v>14</v>
      </c>
      <c r="P383" s="8" t="s">
        <v>57</v>
      </c>
      <c r="Q383" s="8" t="s">
        <v>549</v>
      </c>
      <c r="R383" s="8" t="s">
        <v>33</v>
      </c>
      <c r="S383" s="8" t="s">
        <v>530</v>
      </c>
      <c r="T383" s="8" t="s">
        <v>40</v>
      </c>
      <c r="U383" s="8" t="s">
        <v>32</v>
      </c>
      <c r="V383" s="8" t="s">
        <v>32</v>
      </c>
      <c r="W383" s="8" t="s">
        <v>33</v>
      </c>
      <c r="X383" s="8" t="s">
        <v>33</v>
      </c>
      <c r="Y383" s="8" t="s">
        <v>33</v>
      </c>
      <c r="Z383" s="8" t="s">
        <v>33</v>
      </c>
      <c r="AA383" s="8" t="s">
        <v>33</v>
      </c>
      <c r="AB383" s="8" t="s">
        <v>32</v>
      </c>
      <c r="AC383" s="8" t="s">
        <v>33</v>
      </c>
      <c r="AD383" s="8" t="s">
        <v>32</v>
      </c>
      <c r="AE383" s="8" t="s">
        <v>32</v>
      </c>
      <c r="AF383" s="4">
        <f t="shared" si="10"/>
        <v>456</v>
      </c>
      <c r="AG383" s="4">
        <f t="shared" si="11"/>
        <v>131.94</v>
      </c>
      <c r="AH383" s="5" t="s">
        <v>185</v>
      </c>
      <c r="AI383" s="11" t="s">
        <v>218</v>
      </c>
      <c r="AJ383" s="11" t="s">
        <v>208</v>
      </c>
      <c r="AK383" s="11" t="s">
        <v>235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EEE66-A123-4F85-AB42-991E56BF82A8}">
  <sheetPr codeName="Hoja7"/>
  <dimension ref="A1:C10"/>
  <sheetViews>
    <sheetView showGridLines="0" tabSelected="1" workbookViewId="0">
      <selection activeCell="D14" sqref="D14"/>
    </sheetView>
  </sheetViews>
  <sheetFormatPr baseColWidth="10" defaultRowHeight="14.4" x14ac:dyDescent="0.3"/>
  <cols>
    <col min="1" max="1" width="49.88671875" bestFit="1" customWidth="1"/>
    <col min="2" max="2" width="34.21875" bestFit="1" customWidth="1"/>
    <col min="3" max="3" width="12.21875" bestFit="1" customWidth="1"/>
  </cols>
  <sheetData>
    <row r="1" spans="1:3" x14ac:dyDescent="0.3">
      <c r="A1" s="16" t="s">
        <v>204</v>
      </c>
      <c r="B1" t="s">
        <v>521</v>
      </c>
    </row>
    <row r="3" spans="1:3" x14ac:dyDescent="0.3">
      <c r="A3" s="3" t="s">
        <v>203</v>
      </c>
      <c r="B3" s="3" t="s">
        <v>1</v>
      </c>
      <c r="C3" t="s">
        <v>188</v>
      </c>
    </row>
    <row r="4" spans="1:3" x14ac:dyDescent="0.3">
      <c r="A4" t="s">
        <v>225</v>
      </c>
      <c r="B4" t="s">
        <v>110</v>
      </c>
      <c r="C4" s="17">
        <v>1285.01</v>
      </c>
    </row>
    <row r="5" spans="1:3" x14ac:dyDescent="0.3">
      <c r="A5" t="s">
        <v>558</v>
      </c>
      <c r="C5" s="17">
        <v>1285.01</v>
      </c>
    </row>
    <row r="6" spans="1:3" x14ac:dyDescent="0.3">
      <c r="A6" t="s">
        <v>221</v>
      </c>
      <c r="B6" t="s">
        <v>97</v>
      </c>
      <c r="C6" s="17">
        <v>2406.54</v>
      </c>
    </row>
    <row r="7" spans="1:3" x14ac:dyDescent="0.3">
      <c r="A7" t="s">
        <v>559</v>
      </c>
      <c r="C7" s="17">
        <v>2406.54</v>
      </c>
    </row>
    <row r="8" spans="1:3" x14ac:dyDescent="0.3">
      <c r="A8" t="s">
        <v>554</v>
      </c>
      <c r="B8" t="s">
        <v>108</v>
      </c>
      <c r="C8" s="17">
        <v>6997.4</v>
      </c>
    </row>
    <row r="9" spans="1:3" x14ac:dyDescent="0.3">
      <c r="A9" t="s">
        <v>560</v>
      </c>
      <c r="C9" s="17">
        <v>6997.4</v>
      </c>
    </row>
    <row r="10" spans="1:3" x14ac:dyDescent="0.3">
      <c r="A10" t="s">
        <v>182</v>
      </c>
      <c r="C10" s="17">
        <v>10688.95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Info</vt:lpstr>
      <vt:lpstr>Base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Cristopher Purizaca Dedios</dc:creator>
  <cp:lastModifiedBy>Dennis Purizaca</cp:lastModifiedBy>
  <dcterms:created xsi:type="dcterms:W3CDTF">2021-04-23T15:20:53Z</dcterms:created>
  <dcterms:modified xsi:type="dcterms:W3CDTF">2024-02-20T18:05:22Z</dcterms:modified>
</cp:coreProperties>
</file>